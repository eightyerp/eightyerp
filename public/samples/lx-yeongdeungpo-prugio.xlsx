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gaonw\Desktop\현장견적관리\26년 7월견적\"/>
    </mc:Choice>
  </mc:AlternateContent>
  <bookViews>
    <workbookView xWindow="0" yWindow="0" windowWidth="25600" windowHeight="12170"/>
  </bookViews>
  <sheets>
    <sheet name="2026-07-16" sheetId="1" r:id="rId1"/>
  </sheets>
  <calcPr calcId="162913"/>
</workbook>
</file>

<file path=xl/calcChain.xml><?xml version="1.0" encoding="utf-8"?>
<calcChain xmlns="http://schemas.openxmlformats.org/spreadsheetml/2006/main">
  <c r="B11" i="1" l="1"/>
  <c r="H69" i="1" l="1"/>
  <c r="H70" i="1" s="1"/>
</calcChain>
</file>

<file path=xl/sharedStrings.xml><?xml version="1.0" encoding="utf-8"?>
<sst xmlns="http://schemas.openxmlformats.org/spreadsheetml/2006/main" count="181" uniqueCount="104">
  <si>
    <t>견 적 서</t>
  </si>
  <si>
    <t>견 적 번 호</t>
  </si>
  <si>
    <t>TE2026071600063</t>
  </si>
  <si>
    <t>상 호</t>
  </si>
  <si>
    <t>주식회사 에잇티</t>
  </si>
  <si>
    <t>견 적 일 자</t>
  </si>
  <si>
    <t>2026-07-16   (유 효 일 자 : )</t>
  </si>
  <si>
    <t>사업자번호</t>
  </si>
  <si>
    <t>거 래 처</t>
  </si>
  <si>
    <t>대 표 자</t>
  </si>
  <si>
    <t>이응세</t>
  </si>
  <si>
    <t>전 화 번 호</t>
  </si>
  <si>
    <t xml:space="preserve">주 소 </t>
  </si>
  <si>
    <t>서울특별시 동작구알마타길 37
,제상가동1층103호 주식회사에잇티 (대방동, 대방1차)</t>
  </si>
  <si>
    <t>현 장</t>
  </si>
  <si>
    <t>도신로29길 28 (영등포동, 영등포푸르지오) 101동 1401호</t>
  </si>
  <si>
    <t>금 액</t>
  </si>
  <si>
    <t>담당자</t>
  </si>
  <si>
    <t>전 화</t>
  </si>
  <si>
    <t>010-71184214</t>
  </si>
  <si>
    <t>下記와 如히 견적 하나이다.</t>
  </si>
  <si>
    <t>팩 스</t>
  </si>
  <si>
    <t>No</t>
  </si>
  <si>
    <t>구분</t>
  </si>
  <si>
    <t>품명</t>
  </si>
  <si>
    <t>규격</t>
  </si>
  <si>
    <t>색상</t>
  </si>
  <si>
    <t>단가</t>
  </si>
  <si>
    <t>수량</t>
  </si>
  <si>
    <t>금액</t>
  </si>
  <si>
    <t>방충망</t>
  </si>
  <si>
    <t>1</t>
  </si>
  <si>
    <t>PL외창</t>
  </si>
  <si>
    <t>F-250/핸들/자동/중대형// (2w정_좌, 입구우측방확장 이중창)</t>
  </si>
  <si>
    <t>2480X2220</t>
  </si>
  <si>
    <t>WH/W+W</t>
  </si>
  <si>
    <t>포함</t>
  </si>
  <si>
    <t>10년 보증대상, 에너지 소비효율 1등급</t>
  </si>
  <si>
    <t>1-1</t>
  </si>
  <si>
    <t>유리</t>
  </si>
  <si>
    <t>2</t>
  </si>
  <si>
    <t>F-250/핸들/자동/중대형// (3W U/B, 거실확장 이중창)</t>
  </si>
  <si>
    <t>3780X2220</t>
  </si>
  <si>
    <t>2-1</t>
  </si>
  <si>
    <t>3</t>
  </si>
  <si>
    <t>PL내창</t>
  </si>
  <si>
    <t>F-250I/핸들/자동/중대형/내부용// (3W U/B, 안방이중창)</t>
  </si>
  <si>
    <t>2680X1770</t>
  </si>
  <si>
    <t>제외</t>
  </si>
  <si>
    <t>10년 보증대상, 에너지 소비효율 3등급</t>
  </si>
  <si>
    <t>3-1</t>
  </si>
  <si>
    <t>4</t>
  </si>
  <si>
    <t>F-140/핸들/자동/중대형// (3W U/B, 안방발코니 단창)</t>
  </si>
  <si>
    <t>3370X2210</t>
  </si>
  <si>
    <t>4-1</t>
  </si>
  <si>
    <t>5</t>
  </si>
  <si>
    <t>F-TD140(GS)/틀일반+짝일반/핸들/미는문/단면래핑// (TD_1W_R(일반-일반), 거실확장부 터닝도어)</t>
  </si>
  <si>
    <t>750X2000</t>
  </si>
  <si>
    <t>10년 보증대상</t>
  </si>
  <si>
    <t>5-1</t>
  </si>
  <si>
    <t>6</t>
  </si>
  <si>
    <t>F-130I_FS/FM-4573/크리센트/(2W/1F)/가로분할// (FS_2W(하)/1FIX(상)_L, 안방욕실)</t>
  </si>
  <si>
    <t>650X1030</t>
  </si>
  <si>
    <t>6-1</t>
  </si>
  <si>
    <t>7</t>
  </si>
  <si>
    <t>F-230W/핸들/자동/소형// (2w정_좌, 주방창)</t>
  </si>
  <si>
    <t>1180X380</t>
  </si>
  <si>
    <t>7-1</t>
  </si>
  <si>
    <t>8</t>
  </si>
  <si>
    <t>F-TD140(GS)/틀일반+짝일반/핸들/미는문/단면래핑// (TD_1W_L(일반-일반), 주방터닝)</t>
  </si>
  <si>
    <t>880X2100</t>
  </si>
  <si>
    <t>8-1</t>
  </si>
  <si>
    <t>9</t>
  </si>
  <si>
    <t>F-140/핸들/자동/중대형// (3W U/B, 세탁실발코니 단창)</t>
  </si>
  <si>
    <t>3110X1220</t>
  </si>
  <si>
    <t>9-1</t>
  </si>
  <si>
    <t>10</t>
  </si>
  <si>
    <t>2050X1230</t>
  </si>
  <si>
    <t>10-1</t>
  </si>
  <si>
    <t>11</t>
  </si>
  <si>
    <t>◈CB-90(W통바)- ㅡ 단면 랩핑(105mm) (통바(W), 마감통바)</t>
  </si>
  <si>
    <t>2220X</t>
  </si>
  <si>
    <t>12</t>
  </si>
  <si>
    <t>2210X</t>
  </si>
  <si>
    <t>13</t>
  </si>
  <si>
    <t>1230X</t>
  </si>
  <si>
    <t>14</t>
  </si>
  <si>
    <t>철거,양중비,확장부사춤,기타안전관리비</t>
  </si>
  <si>
    <t>[ 창 호 계 ]</t>
  </si>
  <si>
    <t>[ 기 타 항 목 계 ]</t>
  </si>
  <si>
    <t>[ 기 타 부 품 할 인 ]</t>
  </si>
  <si>
    <t>[ 표 준 시 공 비 ]</t>
  </si>
  <si>
    <t>[ 합 계 ]</t>
  </si>
  <si>
    <t>※ 견적조건 및 안내사항</t>
  </si>
  <si>
    <t>[부가세 포함]</t>
  </si>
  <si>
    <t>26T(수퍼더블로이+투명+아르곤)</t>
  </si>
  <si>
    <r>
      <rPr>
        <b/>
        <sz val="8"/>
        <color rgb="FFFF0000"/>
        <rFont val="돋움"/>
        <family val="3"/>
        <charset val="129"/>
      </rPr>
      <t>외부 26T(수퍼더블로이+투명+아르곤)</t>
    </r>
    <r>
      <rPr>
        <sz val="8"/>
        <color rgb="FF000000"/>
        <rFont val="돋움"/>
        <family val="3"/>
        <charset val="129"/>
      </rPr>
      <t xml:space="preserve"> / 내부 26T(투명+투명+공기)</t>
    </r>
    <phoneticPr fontId="23" type="noConversion"/>
  </si>
  <si>
    <r>
      <rPr>
        <b/>
        <sz val="8"/>
        <color rgb="FFFF0000"/>
        <rFont val="돋움"/>
        <family val="3"/>
        <charset val="129"/>
      </rPr>
      <t>외부 26T(수퍼더블로이+투명+아르곤)</t>
    </r>
    <r>
      <rPr>
        <sz val="8"/>
        <color rgb="FF000000"/>
        <rFont val="돋움"/>
        <family val="3"/>
        <charset val="129"/>
      </rPr>
      <t xml:space="preserve"> / 내부 26T(투명+투명+공기)</t>
    </r>
    <phoneticPr fontId="23" type="noConversion"/>
  </si>
  <si>
    <t>24T(불투명+투명+공기)</t>
  </si>
  <si>
    <t>24T(수퍼더블로이+투명+공기)</t>
    <phoneticPr fontId="23" type="noConversion"/>
  </si>
  <si>
    <t>내,외부 26T(투명+투명+공기)</t>
    <phoneticPr fontId="23" type="noConversion"/>
  </si>
  <si>
    <t>26T(투명+투명+공기)</t>
    <phoneticPr fontId="23" type="noConversion"/>
  </si>
  <si>
    <t>[ 프로로션 할인적용 ]</t>
    <phoneticPr fontId="23" type="noConversion"/>
  </si>
  <si>
    <t>부가세포함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</si>
</sst>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7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color rgb="FF000000"/>
      <name val="돋움"/>
      <family val="3"/>
      <charset val="129"/>
    </font>
    <font>
      <b/>
      <u/>
      <sz val="24"/>
      <color rgb="FF000000"/>
      <name val="궁서"/>
      <family val="1"/>
      <charset val="129"/>
    </font>
    <font>
      <b/>
      <sz val="8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rgb="FFFF0000"/>
      <name val="돋움"/>
      <family val="3"/>
      <charset val="129"/>
    </font>
    <font>
      <sz val="8"/>
      <color rgb="FFFF0000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65"/>
        <bgColor rgb="FF000000"/>
      </patternFill>
    </fill>
    <fill>
      <patternFill patternType="solid">
        <fgColor rgb="FFBDBDBD"/>
        <bgColor rgb="FF000000"/>
      </patternFill>
    </fill>
    <fill>
      <patternFill patternType="solid">
        <fgColor rgb="FFFFFF00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1">
    <xf numFmtId="0" fontId="0" fillId="0" borderId="0" xfId="0" applyFont="1">
      <alignment vertical="center"/>
    </xf>
    <xf numFmtId="0" fontId="0" fillId="33" borderId="0" xfId="0" applyFont="1" applyFill="1">
      <alignment vertical="center"/>
    </xf>
    <xf numFmtId="0" fontId="19" fillId="34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1" fillId="0" borderId="17" xfId="0" applyFont="1" applyFill="1" applyBorder="1" applyAlignment="1">
      <alignment horizontal="left" vertical="center" wrapText="1"/>
    </xf>
    <xf numFmtId="0" fontId="21" fillId="36" borderId="20" xfId="0" applyFont="1" applyFill="1" applyBorder="1" applyAlignment="1">
      <alignment horizontal="center" vertical="center" wrapText="1"/>
    </xf>
    <xf numFmtId="0" fontId="21" fillId="36" borderId="0" xfId="0" applyFont="1" applyFill="1" applyAlignment="1">
      <alignment horizontal="center" vertical="center" wrapText="1"/>
    </xf>
    <xf numFmtId="0" fontId="21" fillId="36" borderId="15" xfId="0" applyFont="1" applyFill="1" applyBorder="1" applyAlignment="1">
      <alignment horizontal="center" vertical="center" wrapText="1"/>
    </xf>
    <xf numFmtId="49" fontId="19" fillId="35" borderId="15" xfId="0" applyNumberFormat="1" applyFont="1" applyFill="1" applyBorder="1" applyAlignment="1">
      <alignment horizontal="left" vertical="center" wrapText="1"/>
    </xf>
    <xf numFmtId="0" fontId="19" fillId="35" borderId="21" xfId="0" applyFont="1" applyFill="1" applyBorder="1" applyAlignment="1">
      <alignment horizontal="left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1" xfId="0" applyFont="1" applyFill="1" applyBorder="1" applyAlignment="1">
      <alignment horizontal="right" vertical="center" wrapText="1"/>
    </xf>
    <xf numFmtId="0" fontId="19" fillId="35" borderId="22" xfId="0" applyFont="1" applyFill="1" applyBorder="1" applyAlignment="1">
      <alignment horizontal="left" vertical="center" wrapText="1"/>
    </xf>
    <xf numFmtId="0" fontId="19" fillId="35" borderId="17" xfId="0" applyFont="1" applyFill="1" applyBorder="1" applyAlignment="1">
      <alignment horizontal="left" vertical="center" wrapText="1"/>
    </xf>
    <xf numFmtId="0" fontId="19" fillId="35" borderId="27" xfId="0" applyFont="1" applyFill="1" applyBorder="1" applyAlignment="1">
      <alignment horizontal="right" vertical="center" wrapText="1"/>
    </xf>
    <xf numFmtId="0" fontId="19" fillId="35" borderId="27" xfId="0" applyFont="1" applyFill="1" applyBorder="1" applyAlignment="1">
      <alignment horizontal="left" vertical="center" wrapText="1"/>
    </xf>
    <xf numFmtId="0" fontId="19" fillId="34" borderId="32" xfId="0" applyFont="1" applyFill="1" applyBorder="1" applyAlignment="1">
      <alignment horizontal="center" vertical="center"/>
    </xf>
    <xf numFmtId="0" fontId="19" fillId="34" borderId="33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4" xfId="0" applyFont="1" applyFill="1" applyBorder="1" applyAlignment="1">
      <alignment horizontal="center" vertical="center" wrapText="1"/>
    </xf>
    <xf numFmtId="0" fontId="22" fillId="0" borderId="34" xfId="0" applyFont="1" applyFill="1" applyBorder="1" applyAlignment="1">
      <alignment horizontal="left" vertical="center" wrapText="1"/>
    </xf>
    <xf numFmtId="0" fontId="19" fillId="35" borderId="0" xfId="0" applyFont="1" applyFill="1" applyAlignment="1">
      <alignment horizontal="left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19" fillId="35" borderId="0" xfId="0" applyFont="1" applyFill="1" applyAlignment="1">
      <alignment horizontal="left" vertical="top" wrapText="1"/>
    </xf>
    <xf numFmtId="0" fontId="19" fillId="35" borderId="16" xfId="0" applyFont="1" applyFill="1" applyBorder="1" applyAlignment="1">
      <alignment horizontal="left" vertical="top" wrapText="1"/>
    </xf>
    <xf numFmtId="0" fontId="19" fillId="35" borderId="16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19" fillId="35" borderId="19" xfId="0" applyFont="1" applyFill="1" applyBorder="1" applyAlignment="1">
      <alignment horizontal="left" vertical="center" wrapText="1"/>
    </xf>
    <xf numFmtId="0" fontId="19" fillId="35" borderId="18" xfId="0" applyFont="1" applyFill="1" applyBorder="1" applyAlignment="1">
      <alignment horizontal="left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19" fillId="35" borderId="24" xfId="0" applyFont="1" applyFill="1" applyBorder="1" applyAlignment="1">
      <alignment horizontal="left" vertical="center" wrapText="1"/>
    </xf>
    <xf numFmtId="0" fontId="19" fillId="35" borderId="23" xfId="0" applyFont="1" applyFill="1" applyBorder="1" applyAlignment="1">
      <alignment horizontal="left" vertical="center" wrapText="1"/>
    </xf>
    <xf numFmtId="0" fontId="21" fillId="35" borderId="25" xfId="0" applyFont="1" applyFill="1" applyBorder="1" applyAlignment="1">
      <alignment horizontal="left" vertical="center" wrapText="1"/>
    </xf>
    <xf numFmtId="0" fontId="21" fillId="35" borderId="24" xfId="0" applyFont="1" applyFill="1" applyBorder="1" applyAlignment="1">
      <alignment horizontal="left" vertical="center" wrapText="1"/>
    </xf>
    <xf numFmtId="0" fontId="21" fillId="35" borderId="26" xfId="0" applyFont="1" applyFill="1" applyBorder="1" applyAlignment="1">
      <alignment horizontal="left" vertical="center" wrapText="1"/>
    </xf>
    <xf numFmtId="0" fontId="19" fillId="35" borderId="28" xfId="0" applyFont="1" applyFill="1" applyBorder="1" applyAlignment="1">
      <alignment horizontal="left" vertical="center" wrapText="1"/>
    </xf>
    <xf numFmtId="0" fontId="19" fillId="35" borderId="29" xfId="0" applyFont="1" applyFill="1" applyBorder="1" applyAlignment="1">
      <alignment horizontal="left" vertical="center" wrapText="1"/>
    </xf>
    <xf numFmtId="0" fontId="19" fillId="35" borderId="30" xfId="0" applyFont="1" applyFill="1" applyBorder="1" applyAlignment="1">
      <alignment horizontal="left" vertical="center" wrapText="1"/>
    </xf>
    <xf numFmtId="0" fontId="19" fillId="35" borderId="35" xfId="0" applyFont="1" applyFill="1" applyBorder="1" applyAlignment="1">
      <alignment horizontal="left" vertical="center" wrapText="1"/>
    </xf>
    <xf numFmtId="0" fontId="19" fillId="35" borderId="36" xfId="0" applyFont="1" applyFill="1" applyBorder="1" applyAlignment="1">
      <alignment horizontal="left" vertical="center" wrapText="1"/>
    </xf>
    <xf numFmtId="0" fontId="19" fillId="35" borderId="37" xfId="0" applyFont="1" applyFill="1" applyBorder="1" applyAlignment="1">
      <alignment horizontal="left" vertical="center" wrapText="1"/>
    </xf>
    <xf numFmtId="0" fontId="19" fillId="35" borderId="0" xfId="0" applyFont="1" applyFill="1" applyBorder="1" applyAlignment="1">
      <alignment horizontal="left" vertical="center" wrapText="1"/>
    </xf>
    <xf numFmtId="0" fontId="19" fillId="35" borderId="31" xfId="0" applyFont="1" applyFill="1" applyBorder="1" applyAlignment="1">
      <alignment horizontal="left" vertical="center" wrapText="1"/>
    </xf>
    <xf numFmtId="41" fontId="18" fillId="34" borderId="0" xfId="1" applyFont="1" applyFill="1" applyAlignment="1">
      <alignment horizontal="center" vertical="center" wrapText="1"/>
    </xf>
    <xf numFmtId="41" fontId="21" fillId="36" borderId="15" xfId="1" applyFont="1" applyFill="1" applyBorder="1" applyAlignment="1">
      <alignment horizontal="center" vertical="center" wrapText="1"/>
    </xf>
    <xf numFmtId="41" fontId="19" fillId="35" borderId="11" xfId="1" applyFont="1" applyFill="1" applyBorder="1" applyAlignment="1">
      <alignment horizontal="right" vertical="center" wrapText="1"/>
    </xf>
    <xf numFmtId="41" fontId="19" fillId="35" borderId="27" xfId="1" applyFont="1" applyFill="1" applyBorder="1" applyAlignment="1">
      <alignment horizontal="right" vertical="center" wrapText="1"/>
    </xf>
    <xf numFmtId="41" fontId="19" fillId="34" borderId="0" xfId="1" applyFont="1" applyFill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  <xf numFmtId="0" fontId="24" fillId="35" borderId="12" xfId="0" applyFont="1" applyFill="1" applyBorder="1" applyAlignment="1">
      <alignment horizontal="left" vertical="center" wrapText="1"/>
    </xf>
    <xf numFmtId="0" fontId="25" fillId="35" borderId="12" xfId="0" applyFont="1" applyFill="1" applyBorder="1" applyAlignment="1">
      <alignment horizontal="left" vertical="center" wrapText="1"/>
    </xf>
    <xf numFmtId="0" fontId="26" fillId="0" borderId="34" xfId="0" applyFont="1" applyFill="1" applyBorder="1" applyAlignment="1">
      <alignment horizontal="left" vertical="center" wrapText="1"/>
    </xf>
    <xf numFmtId="41" fontId="22" fillId="0" borderId="34" xfId="0" applyNumberFormat="1" applyFont="1" applyFill="1" applyBorder="1" applyAlignment="1">
      <alignment horizontal="left" vertical="center" wrapText="1"/>
    </xf>
    <xf numFmtId="0" fontId="21" fillId="37" borderId="25" xfId="0" applyFont="1" applyFill="1" applyBorder="1" applyAlignment="1">
      <alignment horizontal="left" vertical="center" wrapText="1"/>
    </xf>
    <xf numFmtId="0" fontId="21" fillId="37" borderId="24" xfId="0" applyFont="1" applyFill="1" applyBorder="1" applyAlignment="1">
      <alignment horizontal="left" vertical="center" wrapText="1"/>
    </xf>
    <xf numFmtId="0" fontId="21" fillId="37" borderId="26" xfId="0" applyFont="1" applyFill="1" applyBorder="1" applyAlignment="1">
      <alignment horizontal="left" vertical="center" wrapText="1"/>
    </xf>
    <xf numFmtId="41" fontId="19" fillId="37" borderId="27" xfId="1" applyFont="1" applyFill="1" applyBorder="1" applyAlignment="1">
      <alignment horizontal="right" vertical="center" wrapText="1"/>
    </xf>
    <xf numFmtId="0" fontId="19" fillId="37" borderId="27" xfId="0" applyFont="1" applyFill="1" applyBorder="1" applyAlignment="1">
      <alignment horizontal="right" vertical="center" wrapText="1"/>
    </xf>
    <xf numFmtId="0" fontId="19" fillId="37" borderId="27" xfId="0" applyFont="1" applyFill="1" applyBorder="1" applyAlignment="1">
      <alignment horizontal="left" vertical="center" wrapText="1"/>
    </xf>
    <xf numFmtId="41" fontId="22" fillId="0" borderId="34" xfId="0" applyNumberFormat="1" applyFont="1" applyFill="1" applyBorder="1" applyAlignment="1">
      <alignment horizontal="right" vertical="center" wrapText="1"/>
    </xf>
    <xf numFmtId="0" fontId="22" fillId="0" borderId="34" xfId="0" applyFont="1" applyFill="1" applyBorder="1" applyAlignment="1">
      <alignment horizontal="right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ins2-d.hausyswindow.com/resource/images/ci/LX_Hausys_ci_kor.png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209550</xdr:colOff>
          <xdr:row>1</xdr:row>
          <xdr:rowOff>101600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666750</xdr:colOff>
          <xdr:row>0</xdr:row>
          <xdr:rowOff>0</xdr:rowOff>
        </xdr:from>
        <xdr:to>
          <xdr:col>2</xdr:col>
          <xdr:colOff>317500</xdr:colOff>
          <xdr:row>1</xdr:row>
          <xdr:rowOff>101600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355600</xdr:colOff>
          <xdr:row>1</xdr:row>
          <xdr:rowOff>101600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355600</xdr:colOff>
          <xdr:row>1</xdr:row>
          <xdr:rowOff>101600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355600</xdr:colOff>
          <xdr:row>1</xdr:row>
          <xdr:rowOff>101600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355600</xdr:colOff>
          <xdr:row>1</xdr:row>
          <xdr:rowOff>101600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355600</xdr:colOff>
          <xdr:row>1</xdr:row>
          <xdr:rowOff>101600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355600</xdr:colOff>
          <xdr:row>1</xdr:row>
          <xdr:rowOff>101600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3</xdr:row>
      <xdr:rowOff>0</xdr:rowOff>
    </xdr:from>
    <xdr:to>
      <xdr:col>8</xdr:col>
      <xdr:colOff>641350</xdr:colOff>
      <xdr:row>4</xdr:row>
      <xdr:rowOff>215900</xdr:rowOff>
    </xdr:to>
    <xdr:pic>
      <xdr:nvPicPr>
        <xdr:cNvPr id="1033" name="Picture 9" descr="http://wins2-d.hausyswindow.com/resource/images/ci/LX_Hausys_ci_kor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300" y="952500"/>
          <a:ext cx="19050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6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8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control" Target="../activeX/activeX7.xml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75"/>
  <sheetViews>
    <sheetView showGridLines="0" tabSelected="1" workbookViewId="0">
      <selection activeCell="N14" sqref="N14"/>
    </sheetView>
  </sheetViews>
  <sheetFormatPr defaultRowHeight="17" x14ac:dyDescent="0.45"/>
  <cols>
    <col min="1" max="1" width="9.25" style="2" customWidth="1"/>
    <col min="2" max="2" width="7.33203125" style="2" customWidth="1"/>
    <col min="3" max="3" width="34" style="2" customWidth="1"/>
    <col min="4" max="4" width="9.75" style="2" customWidth="1"/>
    <col min="5" max="5" width="10.5" style="2" customWidth="1"/>
    <col min="6" max="6" width="8" style="57" customWidth="1"/>
    <col min="7" max="7" width="7.33203125" style="2" customWidth="1"/>
    <col min="8" max="8" width="9.25" style="57" customWidth="1"/>
    <col min="9" max="9" width="10" style="2" customWidth="1"/>
    <col min="10" max="16384" width="8.6640625" style="1"/>
  </cols>
  <sheetData>
    <row r="1" spans="1:9" ht="10" customHeight="1" x14ac:dyDescent="0.45">
      <c r="A1" s="3"/>
      <c r="B1" s="3"/>
      <c r="C1" s="3"/>
      <c r="D1" s="3"/>
      <c r="E1" s="3"/>
      <c r="F1" s="53"/>
      <c r="G1" s="3"/>
      <c r="H1" s="53"/>
      <c r="I1" s="3"/>
    </row>
    <row r="2" spans="1:9" ht="45" customHeight="1" x14ac:dyDescent="0.45">
      <c r="A2" s="3"/>
      <c r="B2" s="24" t="s">
        <v>0</v>
      </c>
      <c r="C2" s="24"/>
      <c r="D2" s="24"/>
      <c r="E2" s="24"/>
      <c r="F2" s="24"/>
      <c r="G2" s="24"/>
      <c r="H2" s="24"/>
      <c r="I2" s="3"/>
    </row>
    <row r="3" spans="1:9" ht="20.149999999999999" customHeight="1" x14ac:dyDescent="0.45">
      <c r="A3" s="25"/>
      <c r="B3" s="25"/>
      <c r="C3" s="25"/>
      <c r="D3" s="25"/>
      <c r="E3" s="25"/>
      <c r="F3" s="25"/>
      <c r="G3" s="25"/>
      <c r="H3" s="25"/>
      <c r="I3" s="25"/>
    </row>
    <row r="4" spans="1:9" ht="20.149999999999999" customHeight="1" x14ac:dyDescent="0.45">
      <c r="A4" s="25"/>
      <c r="B4" s="25"/>
      <c r="C4" s="25"/>
      <c r="D4" s="25"/>
      <c r="E4" s="25"/>
      <c r="F4" s="25"/>
      <c r="G4" s="25"/>
      <c r="H4" s="25"/>
      <c r="I4" s="25"/>
    </row>
    <row r="5" spans="1:9" ht="20.149999999999999" customHeight="1" x14ac:dyDescent="0.45">
      <c r="A5" s="25"/>
      <c r="B5" s="25"/>
      <c r="C5" s="25"/>
      <c r="D5" s="25"/>
      <c r="E5" s="25"/>
      <c r="F5" s="25"/>
      <c r="G5" s="25"/>
      <c r="H5" s="25"/>
      <c r="I5" s="25"/>
    </row>
    <row r="6" spans="1:9" ht="20.149999999999999" customHeight="1" thickBot="1" x14ac:dyDescent="0.5">
      <c r="A6" s="4" t="s">
        <v>1</v>
      </c>
      <c r="B6" s="26" t="s">
        <v>2</v>
      </c>
      <c r="C6" s="26"/>
      <c r="D6" s="3"/>
      <c r="E6" s="6" t="s">
        <v>3</v>
      </c>
      <c r="F6" s="27" t="s">
        <v>4</v>
      </c>
      <c r="G6" s="27"/>
      <c r="H6" s="27"/>
      <c r="I6" s="28"/>
    </row>
    <row r="7" spans="1:9" ht="20.149999999999999" customHeight="1" thickBot="1" x14ac:dyDescent="0.5">
      <c r="A7" s="4" t="s">
        <v>5</v>
      </c>
      <c r="B7" s="30" t="s">
        <v>6</v>
      </c>
      <c r="C7" s="30"/>
      <c r="D7" s="3"/>
      <c r="E7" s="9" t="s">
        <v>7</v>
      </c>
      <c r="F7" s="31"/>
      <c r="G7" s="31"/>
      <c r="H7" s="31"/>
      <c r="I7" s="29"/>
    </row>
    <row r="8" spans="1:9" ht="20.149999999999999" customHeight="1" thickBot="1" x14ac:dyDescent="0.5">
      <c r="A8" s="4" t="s">
        <v>8</v>
      </c>
      <c r="B8" s="30"/>
      <c r="C8" s="30"/>
      <c r="D8" s="3"/>
      <c r="E8" s="9" t="s">
        <v>9</v>
      </c>
      <c r="F8" s="31" t="s">
        <v>10</v>
      </c>
      <c r="G8" s="31"/>
      <c r="H8" s="31"/>
      <c r="I8" s="29"/>
    </row>
    <row r="9" spans="1:9" ht="20.149999999999999" customHeight="1" thickBot="1" x14ac:dyDescent="0.5">
      <c r="A9" s="4" t="s">
        <v>11</v>
      </c>
      <c r="B9" s="30"/>
      <c r="C9" s="30"/>
      <c r="D9" s="3"/>
      <c r="E9" s="32" t="s">
        <v>12</v>
      </c>
      <c r="F9" s="33" t="s">
        <v>13</v>
      </c>
      <c r="G9" s="33"/>
      <c r="H9" s="33"/>
      <c r="I9" s="34"/>
    </row>
    <row r="10" spans="1:9" ht="20.149999999999999" customHeight="1" thickBot="1" x14ac:dyDescent="0.5">
      <c r="A10" s="4" t="s">
        <v>14</v>
      </c>
      <c r="B10" s="61" t="s">
        <v>15</v>
      </c>
      <c r="C10" s="61"/>
      <c r="D10" s="3"/>
      <c r="E10" s="32"/>
      <c r="F10" s="33"/>
      <c r="G10" s="33"/>
      <c r="H10" s="33"/>
      <c r="I10" s="34"/>
    </row>
    <row r="11" spans="1:9" ht="20.149999999999999" customHeight="1" thickBot="1" x14ac:dyDescent="0.5">
      <c r="A11" s="4" t="s">
        <v>16</v>
      </c>
      <c r="B11" s="62">
        <f>H70</f>
        <v>15300000</v>
      </c>
      <c r="C11" s="30"/>
      <c r="D11" s="3"/>
      <c r="E11" s="9" t="s">
        <v>17</v>
      </c>
      <c r="F11" s="31" t="s">
        <v>10</v>
      </c>
      <c r="G11" s="31"/>
      <c r="H11" s="31"/>
      <c r="I11" s="35"/>
    </row>
    <row r="12" spans="1:9" ht="20.149999999999999" customHeight="1" thickBot="1" x14ac:dyDescent="0.5">
      <c r="A12" s="8"/>
      <c r="B12" s="69" t="s">
        <v>103</v>
      </c>
      <c r="C12" s="70"/>
      <c r="D12" s="3"/>
      <c r="E12" s="9" t="s">
        <v>18</v>
      </c>
      <c r="F12" s="31" t="s">
        <v>19</v>
      </c>
      <c r="G12" s="31"/>
      <c r="H12" s="31"/>
      <c r="I12" s="35"/>
    </row>
    <row r="13" spans="1:9" ht="20.149999999999999" customHeight="1" thickBot="1" x14ac:dyDescent="0.5">
      <c r="A13" s="36" t="s">
        <v>20</v>
      </c>
      <c r="B13" s="36"/>
      <c r="C13" s="36"/>
      <c r="D13" s="3"/>
      <c r="E13" s="10" t="s">
        <v>21</v>
      </c>
      <c r="F13" s="37"/>
      <c r="G13" s="37"/>
      <c r="H13" s="37"/>
      <c r="I13" s="38"/>
    </row>
    <row r="14" spans="1:9" x14ac:dyDescent="0.45">
      <c r="A14" s="25"/>
      <c r="B14" s="25"/>
      <c r="C14" s="25"/>
      <c r="D14" s="25"/>
      <c r="E14" s="25"/>
      <c r="F14" s="25"/>
      <c r="G14" s="25"/>
      <c r="H14" s="25"/>
      <c r="I14" s="25"/>
    </row>
    <row r="15" spans="1:9" x14ac:dyDescent="0.45">
      <c r="A15" s="39"/>
      <c r="B15" s="39"/>
      <c r="C15" s="39"/>
      <c r="D15" s="39"/>
      <c r="E15" s="39"/>
      <c r="F15" s="39"/>
      <c r="G15" s="39"/>
      <c r="H15" s="39"/>
      <c r="I15" s="39"/>
    </row>
    <row r="16" spans="1:9" x14ac:dyDescent="0.45">
      <c r="A16" s="11" t="s">
        <v>22</v>
      </c>
      <c r="B16" s="12" t="s">
        <v>23</v>
      </c>
      <c r="C16" s="13" t="s">
        <v>24</v>
      </c>
      <c r="D16" s="13" t="s">
        <v>25</v>
      </c>
      <c r="E16" s="13" t="s">
        <v>26</v>
      </c>
      <c r="F16" s="54" t="s">
        <v>27</v>
      </c>
      <c r="G16" s="13" t="s">
        <v>28</v>
      </c>
      <c r="H16" s="54" t="s">
        <v>29</v>
      </c>
      <c r="I16" s="11" t="s">
        <v>30</v>
      </c>
    </row>
    <row r="17" spans="1:9" ht="19" x14ac:dyDescent="0.45">
      <c r="A17" s="14" t="s">
        <v>31</v>
      </c>
      <c r="B17" s="15" t="s">
        <v>32</v>
      </c>
      <c r="C17" s="7" t="s">
        <v>33</v>
      </c>
      <c r="D17" s="16" t="s">
        <v>34</v>
      </c>
      <c r="E17" s="16" t="s">
        <v>35</v>
      </c>
      <c r="F17" s="55">
        <v>1393000</v>
      </c>
      <c r="G17" s="17">
        <v>1</v>
      </c>
      <c r="H17" s="55">
        <v>1393000</v>
      </c>
      <c r="I17" s="18" t="s">
        <v>36</v>
      </c>
    </row>
    <row r="18" spans="1:9" x14ac:dyDescent="0.45">
      <c r="A18" s="19"/>
      <c r="B18" s="40" t="s">
        <v>37</v>
      </c>
      <c r="C18" s="40"/>
      <c r="D18" s="40"/>
      <c r="E18" s="40"/>
      <c r="F18" s="40"/>
      <c r="G18" s="40"/>
      <c r="H18" s="40"/>
      <c r="I18" s="41"/>
    </row>
    <row r="19" spans="1:9" ht="19" x14ac:dyDescent="0.45">
      <c r="A19" s="14" t="s">
        <v>38</v>
      </c>
      <c r="B19" s="15" t="s">
        <v>39</v>
      </c>
      <c r="C19" s="7" t="s">
        <v>96</v>
      </c>
      <c r="D19" s="16" t="s">
        <v>34</v>
      </c>
      <c r="E19" s="16"/>
      <c r="F19" s="55">
        <v>775600</v>
      </c>
      <c r="G19" s="17">
        <v>1</v>
      </c>
      <c r="H19" s="55">
        <v>775600</v>
      </c>
      <c r="I19" s="18" t="s">
        <v>36</v>
      </c>
    </row>
    <row r="20" spans="1:9" x14ac:dyDescent="0.45">
      <c r="A20" s="19"/>
      <c r="B20" s="40"/>
      <c r="C20" s="40"/>
      <c r="D20" s="40"/>
      <c r="E20" s="40"/>
      <c r="F20" s="40"/>
      <c r="G20" s="40"/>
      <c r="H20" s="40"/>
      <c r="I20" s="41"/>
    </row>
    <row r="21" spans="1:9" x14ac:dyDescent="0.45">
      <c r="A21" s="14" t="s">
        <v>40</v>
      </c>
      <c r="B21" s="15" t="s">
        <v>32</v>
      </c>
      <c r="C21" s="7" t="s">
        <v>41</v>
      </c>
      <c r="D21" s="16" t="s">
        <v>42</v>
      </c>
      <c r="E21" s="16" t="s">
        <v>35</v>
      </c>
      <c r="F21" s="55">
        <v>1954400</v>
      </c>
      <c r="G21" s="17">
        <v>1</v>
      </c>
      <c r="H21" s="55">
        <v>1954400</v>
      </c>
      <c r="I21" s="18" t="s">
        <v>36</v>
      </c>
    </row>
    <row r="22" spans="1:9" x14ac:dyDescent="0.45">
      <c r="A22" s="19"/>
      <c r="B22" s="40" t="s">
        <v>37</v>
      </c>
      <c r="C22" s="40"/>
      <c r="D22" s="40"/>
      <c r="E22" s="40"/>
      <c r="F22" s="40"/>
      <c r="G22" s="40"/>
      <c r="H22" s="40"/>
      <c r="I22" s="41"/>
    </row>
    <row r="23" spans="1:9" ht="19" x14ac:dyDescent="0.45">
      <c r="A23" s="14" t="s">
        <v>43</v>
      </c>
      <c r="B23" s="15" t="s">
        <v>39</v>
      </c>
      <c r="C23" s="7" t="s">
        <v>97</v>
      </c>
      <c r="D23" s="16" t="s">
        <v>42</v>
      </c>
      <c r="E23" s="16"/>
      <c r="F23" s="55">
        <v>1211000</v>
      </c>
      <c r="G23" s="17">
        <v>1</v>
      </c>
      <c r="H23" s="55">
        <v>1211000</v>
      </c>
      <c r="I23" s="18" t="s">
        <v>36</v>
      </c>
    </row>
    <row r="24" spans="1:9" x14ac:dyDescent="0.45">
      <c r="A24" s="19"/>
      <c r="B24" s="40"/>
      <c r="C24" s="40"/>
      <c r="D24" s="40"/>
      <c r="E24" s="40"/>
      <c r="F24" s="40"/>
      <c r="G24" s="40"/>
      <c r="H24" s="40"/>
      <c r="I24" s="41"/>
    </row>
    <row r="25" spans="1:9" ht="19" x14ac:dyDescent="0.45">
      <c r="A25" s="14" t="s">
        <v>44</v>
      </c>
      <c r="B25" s="15" t="s">
        <v>45</v>
      </c>
      <c r="C25" s="7" t="s">
        <v>46</v>
      </c>
      <c r="D25" s="16" t="s">
        <v>47</v>
      </c>
      <c r="E25" s="16" t="s">
        <v>35</v>
      </c>
      <c r="F25" s="55">
        <v>950600</v>
      </c>
      <c r="G25" s="17">
        <v>1</v>
      </c>
      <c r="H25" s="55">
        <v>950600</v>
      </c>
      <c r="I25" s="18" t="s">
        <v>48</v>
      </c>
    </row>
    <row r="26" spans="1:9" x14ac:dyDescent="0.45">
      <c r="A26" s="19"/>
      <c r="B26" s="40" t="s">
        <v>49</v>
      </c>
      <c r="C26" s="40"/>
      <c r="D26" s="40"/>
      <c r="E26" s="40"/>
      <c r="F26" s="40"/>
      <c r="G26" s="40"/>
      <c r="H26" s="40"/>
      <c r="I26" s="41"/>
    </row>
    <row r="27" spans="1:9" x14ac:dyDescent="0.45">
      <c r="A27" s="14" t="s">
        <v>50</v>
      </c>
      <c r="B27" s="15" t="s">
        <v>39</v>
      </c>
      <c r="C27" s="7" t="s">
        <v>100</v>
      </c>
      <c r="D27" s="16" t="s">
        <v>47</v>
      </c>
      <c r="E27" s="16"/>
      <c r="F27" s="55">
        <v>470400</v>
      </c>
      <c r="G27" s="17">
        <v>1</v>
      </c>
      <c r="H27" s="55">
        <v>470400</v>
      </c>
      <c r="I27" s="18" t="s">
        <v>48</v>
      </c>
    </row>
    <row r="28" spans="1:9" x14ac:dyDescent="0.45">
      <c r="A28" s="19"/>
      <c r="B28" s="40"/>
      <c r="C28" s="40"/>
      <c r="D28" s="40"/>
      <c r="E28" s="40"/>
      <c r="F28" s="40"/>
      <c r="G28" s="40"/>
      <c r="H28" s="40"/>
      <c r="I28" s="41"/>
    </row>
    <row r="29" spans="1:9" x14ac:dyDescent="0.45">
      <c r="A29" s="14" t="s">
        <v>51</v>
      </c>
      <c r="B29" s="15" t="s">
        <v>32</v>
      </c>
      <c r="C29" s="7" t="s">
        <v>52</v>
      </c>
      <c r="D29" s="16" t="s">
        <v>53</v>
      </c>
      <c r="E29" s="16" t="s">
        <v>35</v>
      </c>
      <c r="F29" s="55">
        <v>1089200</v>
      </c>
      <c r="G29" s="17">
        <v>1</v>
      </c>
      <c r="H29" s="55">
        <v>1089200</v>
      </c>
      <c r="I29" s="18" t="s">
        <v>36</v>
      </c>
    </row>
    <row r="30" spans="1:9" x14ac:dyDescent="0.45">
      <c r="A30" s="19"/>
      <c r="B30" s="40" t="s">
        <v>49</v>
      </c>
      <c r="C30" s="40"/>
      <c r="D30" s="40"/>
      <c r="E30" s="40"/>
      <c r="F30" s="40"/>
      <c r="G30" s="40"/>
      <c r="H30" s="40"/>
      <c r="I30" s="41"/>
    </row>
    <row r="31" spans="1:9" x14ac:dyDescent="0.45">
      <c r="A31" s="14" t="s">
        <v>54</v>
      </c>
      <c r="B31" s="15" t="s">
        <v>39</v>
      </c>
      <c r="C31" s="59" t="s">
        <v>95</v>
      </c>
      <c r="D31" s="16" t="s">
        <v>53</v>
      </c>
      <c r="E31" s="16"/>
      <c r="F31" s="55">
        <v>680400</v>
      </c>
      <c r="G31" s="17">
        <v>1</v>
      </c>
      <c r="H31" s="55">
        <v>680400</v>
      </c>
      <c r="I31" s="18" t="s">
        <v>36</v>
      </c>
    </row>
    <row r="32" spans="1:9" x14ac:dyDescent="0.45">
      <c r="A32" s="19"/>
      <c r="B32" s="40"/>
      <c r="C32" s="40"/>
      <c r="D32" s="40"/>
      <c r="E32" s="40"/>
      <c r="F32" s="40"/>
      <c r="G32" s="40"/>
      <c r="H32" s="40"/>
      <c r="I32" s="41"/>
    </row>
    <row r="33" spans="1:9" ht="19" x14ac:dyDescent="0.45">
      <c r="A33" s="14" t="s">
        <v>55</v>
      </c>
      <c r="B33" s="15" t="s">
        <v>45</v>
      </c>
      <c r="C33" s="7" t="s">
        <v>56</v>
      </c>
      <c r="D33" s="16" t="s">
        <v>57</v>
      </c>
      <c r="E33" s="16" t="s">
        <v>35</v>
      </c>
      <c r="F33" s="55">
        <v>544600</v>
      </c>
      <c r="G33" s="17">
        <v>1</v>
      </c>
      <c r="H33" s="55">
        <v>544600</v>
      </c>
      <c r="I33" s="18" t="s">
        <v>48</v>
      </c>
    </row>
    <row r="34" spans="1:9" x14ac:dyDescent="0.45">
      <c r="A34" s="19"/>
      <c r="B34" s="40" t="s">
        <v>58</v>
      </c>
      <c r="C34" s="40"/>
      <c r="D34" s="40"/>
      <c r="E34" s="40"/>
      <c r="F34" s="40"/>
      <c r="G34" s="40"/>
      <c r="H34" s="40"/>
      <c r="I34" s="41"/>
    </row>
    <row r="35" spans="1:9" x14ac:dyDescent="0.45">
      <c r="A35" s="14" t="s">
        <v>59</v>
      </c>
      <c r="B35" s="15" t="s">
        <v>39</v>
      </c>
      <c r="C35" s="7" t="s">
        <v>98</v>
      </c>
      <c r="D35" s="16" t="s">
        <v>57</v>
      </c>
      <c r="E35" s="16"/>
      <c r="F35" s="55">
        <v>56000</v>
      </c>
      <c r="G35" s="17">
        <v>1</v>
      </c>
      <c r="H35" s="55">
        <v>56000</v>
      </c>
      <c r="I35" s="18" t="s">
        <v>48</v>
      </c>
    </row>
    <row r="36" spans="1:9" x14ac:dyDescent="0.45">
      <c r="A36" s="19"/>
      <c r="B36" s="40"/>
      <c r="C36" s="40"/>
      <c r="D36" s="40"/>
      <c r="E36" s="40"/>
      <c r="F36" s="40"/>
      <c r="G36" s="40"/>
      <c r="H36" s="40"/>
      <c r="I36" s="41"/>
    </row>
    <row r="37" spans="1:9" ht="19" x14ac:dyDescent="0.45">
      <c r="A37" s="14" t="s">
        <v>60</v>
      </c>
      <c r="B37" s="15" t="s">
        <v>45</v>
      </c>
      <c r="C37" s="7" t="s">
        <v>61</v>
      </c>
      <c r="D37" s="16" t="s">
        <v>62</v>
      </c>
      <c r="E37" s="16" t="s">
        <v>35</v>
      </c>
      <c r="F37" s="55">
        <v>366800</v>
      </c>
      <c r="G37" s="17">
        <v>1</v>
      </c>
      <c r="H37" s="55">
        <v>366800</v>
      </c>
      <c r="I37" s="18" t="s">
        <v>36</v>
      </c>
    </row>
    <row r="38" spans="1:9" x14ac:dyDescent="0.45">
      <c r="A38" s="19"/>
      <c r="B38" s="40" t="s">
        <v>58</v>
      </c>
      <c r="C38" s="40"/>
      <c r="D38" s="40"/>
      <c r="E38" s="40"/>
      <c r="F38" s="40"/>
      <c r="G38" s="40"/>
      <c r="H38" s="40"/>
      <c r="I38" s="41"/>
    </row>
    <row r="39" spans="1:9" x14ac:dyDescent="0.45">
      <c r="A39" s="14" t="s">
        <v>63</v>
      </c>
      <c r="B39" s="15" t="s">
        <v>39</v>
      </c>
      <c r="C39" s="60" t="s">
        <v>99</v>
      </c>
      <c r="D39" s="16" t="s">
        <v>62</v>
      </c>
      <c r="E39" s="16"/>
      <c r="F39" s="55">
        <v>100800</v>
      </c>
      <c r="G39" s="17">
        <v>1</v>
      </c>
      <c r="H39" s="55">
        <v>100800</v>
      </c>
      <c r="I39" s="18" t="s">
        <v>36</v>
      </c>
    </row>
    <row r="40" spans="1:9" x14ac:dyDescent="0.45">
      <c r="A40" s="19"/>
      <c r="B40" s="40"/>
      <c r="C40" s="40"/>
      <c r="D40" s="40"/>
      <c r="E40" s="40"/>
      <c r="F40" s="40"/>
      <c r="G40" s="40"/>
      <c r="H40" s="40"/>
      <c r="I40" s="41"/>
    </row>
    <row r="41" spans="1:9" x14ac:dyDescent="0.45">
      <c r="A41" s="14" t="s">
        <v>64</v>
      </c>
      <c r="B41" s="15" t="s">
        <v>45</v>
      </c>
      <c r="C41" s="7" t="s">
        <v>65</v>
      </c>
      <c r="D41" s="16" t="s">
        <v>66</v>
      </c>
      <c r="E41" s="16" t="s">
        <v>35</v>
      </c>
      <c r="F41" s="55">
        <v>217000</v>
      </c>
      <c r="G41" s="17">
        <v>1</v>
      </c>
      <c r="H41" s="55">
        <v>217000</v>
      </c>
      <c r="I41" s="18" t="s">
        <v>48</v>
      </c>
    </row>
    <row r="42" spans="1:9" x14ac:dyDescent="0.45">
      <c r="A42" s="19"/>
      <c r="B42" s="40" t="s">
        <v>58</v>
      </c>
      <c r="C42" s="40"/>
      <c r="D42" s="40"/>
      <c r="E42" s="40"/>
      <c r="F42" s="40"/>
      <c r="G42" s="40"/>
      <c r="H42" s="40"/>
      <c r="I42" s="41"/>
    </row>
    <row r="43" spans="1:9" x14ac:dyDescent="0.45">
      <c r="A43" s="14" t="s">
        <v>67</v>
      </c>
      <c r="B43" s="15" t="s">
        <v>39</v>
      </c>
      <c r="C43" s="7" t="s">
        <v>101</v>
      </c>
      <c r="D43" s="16" t="s">
        <v>66</v>
      </c>
      <c r="E43" s="16"/>
      <c r="F43" s="55">
        <v>35000</v>
      </c>
      <c r="G43" s="17">
        <v>1</v>
      </c>
      <c r="H43" s="55">
        <v>35000</v>
      </c>
      <c r="I43" s="18" t="s">
        <v>48</v>
      </c>
    </row>
    <row r="44" spans="1:9" x14ac:dyDescent="0.45">
      <c r="A44" s="19"/>
      <c r="B44" s="40"/>
      <c r="C44" s="40"/>
      <c r="D44" s="40"/>
      <c r="E44" s="40"/>
      <c r="F44" s="40"/>
      <c r="G44" s="40"/>
      <c r="H44" s="40"/>
      <c r="I44" s="41"/>
    </row>
    <row r="45" spans="1:9" ht="19" x14ac:dyDescent="0.45">
      <c r="A45" s="14" t="s">
        <v>68</v>
      </c>
      <c r="B45" s="15" t="s">
        <v>45</v>
      </c>
      <c r="C45" s="7" t="s">
        <v>69</v>
      </c>
      <c r="D45" s="16" t="s">
        <v>70</v>
      </c>
      <c r="E45" s="16" t="s">
        <v>35</v>
      </c>
      <c r="F45" s="55">
        <v>568400</v>
      </c>
      <c r="G45" s="17">
        <v>1</v>
      </c>
      <c r="H45" s="55">
        <v>568400</v>
      </c>
      <c r="I45" s="18" t="s">
        <v>48</v>
      </c>
    </row>
    <row r="46" spans="1:9" x14ac:dyDescent="0.45">
      <c r="A46" s="19"/>
      <c r="B46" s="40" t="s">
        <v>58</v>
      </c>
      <c r="C46" s="40"/>
      <c r="D46" s="40"/>
      <c r="E46" s="40"/>
      <c r="F46" s="40"/>
      <c r="G46" s="40"/>
      <c r="H46" s="40"/>
      <c r="I46" s="41"/>
    </row>
    <row r="47" spans="1:9" x14ac:dyDescent="0.45">
      <c r="A47" s="14" t="s">
        <v>71</v>
      </c>
      <c r="B47" s="15" t="s">
        <v>39</v>
      </c>
      <c r="C47" s="7" t="s">
        <v>98</v>
      </c>
      <c r="D47" s="16" t="s">
        <v>70</v>
      </c>
      <c r="E47" s="16"/>
      <c r="F47" s="55">
        <v>75600</v>
      </c>
      <c r="G47" s="17">
        <v>1</v>
      </c>
      <c r="H47" s="55">
        <v>75600</v>
      </c>
      <c r="I47" s="18" t="s">
        <v>48</v>
      </c>
    </row>
    <row r="48" spans="1:9" x14ac:dyDescent="0.45">
      <c r="A48" s="19"/>
      <c r="B48" s="40"/>
      <c r="C48" s="40"/>
      <c r="D48" s="40"/>
      <c r="E48" s="40"/>
      <c r="F48" s="40"/>
      <c r="G48" s="40"/>
      <c r="H48" s="40"/>
      <c r="I48" s="41"/>
    </row>
    <row r="49" spans="1:9" x14ac:dyDescent="0.45">
      <c r="A49" s="14" t="s">
        <v>72</v>
      </c>
      <c r="B49" s="15" t="s">
        <v>32</v>
      </c>
      <c r="C49" s="7" t="s">
        <v>73</v>
      </c>
      <c r="D49" s="16" t="s">
        <v>74</v>
      </c>
      <c r="E49" s="16" t="s">
        <v>35</v>
      </c>
      <c r="F49" s="55">
        <v>803600</v>
      </c>
      <c r="G49" s="17">
        <v>1</v>
      </c>
      <c r="H49" s="55">
        <v>803600</v>
      </c>
      <c r="I49" s="18" t="s">
        <v>36</v>
      </c>
    </row>
    <row r="50" spans="1:9" x14ac:dyDescent="0.45">
      <c r="A50" s="19"/>
      <c r="B50" s="40" t="s">
        <v>49</v>
      </c>
      <c r="C50" s="40"/>
      <c r="D50" s="40"/>
      <c r="E50" s="40"/>
      <c r="F50" s="40"/>
      <c r="G50" s="40"/>
      <c r="H50" s="40"/>
      <c r="I50" s="41"/>
    </row>
    <row r="51" spans="1:9" x14ac:dyDescent="0.45">
      <c r="A51" s="14" t="s">
        <v>75</v>
      </c>
      <c r="B51" s="15" t="s">
        <v>39</v>
      </c>
      <c r="C51" s="59" t="s">
        <v>95</v>
      </c>
      <c r="D51" s="16" t="s">
        <v>74</v>
      </c>
      <c r="E51" s="16"/>
      <c r="F51" s="55">
        <v>313600</v>
      </c>
      <c r="G51" s="17">
        <v>1</v>
      </c>
      <c r="H51" s="55">
        <v>313600</v>
      </c>
      <c r="I51" s="18" t="s">
        <v>36</v>
      </c>
    </row>
    <row r="52" spans="1:9" x14ac:dyDescent="0.45">
      <c r="A52" s="19"/>
      <c r="B52" s="40"/>
      <c r="C52" s="40"/>
      <c r="D52" s="40"/>
      <c r="E52" s="40"/>
      <c r="F52" s="40"/>
      <c r="G52" s="40"/>
      <c r="H52" s="40"/>
      <c r="I52" s="41"/>
    </row>
    <row r="53" spans="1:9" ht="19" x14ac:dyDescent="0.45">
      <c r="A53" s="14" t="s">
        <v>76</v>
      </c>
      <c r="B53" s="15" t="s">
        <v>32</v>
      </c>
      <c r="C53" s="7" t="s">
        <v>33</v>
      </c>
      <c r="D53" s="16" t="s">
        <v>77</v>
      </c>
      <c r="E53" s="16" t="s">
        <v>35</v>
      </c>
      <c r="F53" s="55">
        <v>946400</v>
      </c>
      <c r="G53" s="17">
        <v>1</v>
      </c>
      <c r="H53" s="55">
        <v>946400</v>
      </c>
      <c r="I53" s="18" t="s">
        <v>36</v>
      </c>
    </row>
    <row r="54" spans="1:9" x14ac:dyDescent="0.45">
      <c r="A54" s="19"/>
      <c r="B54" s="40" t="s">
        <v>37</v>
      </c>
      <c r="C54" s="40"/>
      <c r="D54" s="40"/>
      <c r="E54" s="40"/>
      <c r="F54" s="40"/>
      <c r="G54" s="40"/>
      <c r="H54" s="40"/>
      <c r="I54" s="41"/>
    </row>
    <row r="55" spans="1:9" ht="19" x14ac:dyDescent="0.45">
      <c r="A55" s="14" t="s">
        <v>78</v>
      </c>
      <c r="B55" s="15" t="s">
        <v>39</v>
      </c>
      <c r="C55" s="7" t="s">
        <v>96</v>
      </c>
      <c r="D55" s="16" t="s">
        <v>77</v>
      </c>
      <c r="E55" s="16"/>
      <c r="F55" s="55">
        <v>316400</v>
      </c>
      <c r="G55" s="17">
        <v>1</v>
      </c>
      <c r="H55" s="55">
        <v>316400</v>
      </c>
      <c r="I55" s="18" t="s">
        <v>36</v>
      </c>
    </row>
    <row r="56" spans="1:9" x14ac:dyDescent="0.45">
      <c r="A56" s="19"/>
      <c r="B56" s="40"/>
      <c r="C56" s="40"/>
      <c r="D56" s="40"/>
      <c r="E56" s="40"/>
      <c r="F56" s="40"/>
      <c r="G56" s="40"/>
      <c r="H56" s="40"/>
      <c r="I56" s="41"/>
    </row>
    <row r="57" spans="1:9" ht="19" x14ac:dyDescent="0.45">
      <c r="A57" s="14" t="s">
        <v>79</v>
      </c>
      <c r="B57" s="15" t="s">
        <v>45</v>
      </c>
      <c r="C57" s="7" t="s">
        <v>80</v>
      </c>
      <c r="D57" s="16" t="s">
        <v>81</v>
      </c>
      <c r="E57" s="16" t="s">
        <v>35</v>
      </c>
      <c r="F57" s="55">
        <v>36400</v>
      </c>
      <c r="G57" s="17">
        <v>2</v>
      </c>
      <c r="H57" s="55">
        <v>72800</v>
      </c>
      <c r="I57" s="18" t="s">
        <v>48</v>
      </c>
    </row>
    <row r="58" spans="1:9" x14ac:dyDescent="0.45">
      <c r="A58" s="19"/>
      <c r="B58" s="40"/>
      <c r="C58" s="40"/>
      <c r="D58" s="40"/>
      <c r="E58" s="40"/>
      <c r="F58" s="40"/>
      <c r="G58" s="40"/>
      <c r="H58" s="40"/>
      <c r="I58" s="41"/>
    </row>
    <row r="59" spans="1:9" ht="19" x14ac:dyDescent="0.45">
      <c r="A59" s="14" t="s">
        <v>82</v>
      </c>
      <c r="B59" s="15" t="s">
        <v>45</v>
      </c>
      <c r="C59" s="7" t="s">
        <v>80</v>
      </c>
      <c r="D59" s="16" t="s">
        <v>83</v>
      </c>
      <c r="E59" s="16" t="s">
        <v>35</v>
      </c>
      <c r="F59" s="55">
        <v>36400</v>
      </c>
      <c r="G59" s="17">
        <v>2</v>
      </c>
      <c r="H59" s="55">
        <v>72800</v>
      </c>
      <c r="I59" s="18" t="s">
        <v>48</v>
      </c>
    </row>
    <row r="60" spans="1:9" x14ac:dyDescent="0.45">
      <c r="A60" s="19"/>
      <c r="B60" s="40"/>
      <c r="C60" s="40"/>
      <c r="D60" s="40"/>
      <c r="E60" s="40"/>
      <c r="F60" s="40"/>
      <c r="G60" s="40"/>
      <c r="H60" s="40"/>
      <c r="I60" s="41"/>
    </row>
    <row r="61" spans="1:9" ht="19" x14ac:dyDescent="0.45">
      <c r="A61" s="14" t="s">
        <v>84</v>
      </c>
      <c r="B61" s="15" t="s">
        <v>45</v>
      </c>
      <c r="C61" s="7" t="s">
        <v>80</v>
      </c>
      <c r="D61" s="16" t="s">
        <v>85</v>
      </c>
      <c r="E61" s="16" t="s">
        <v>35</v>
      </c>
      <c r="F61" s="55">
        <v>26600</v>
      </c>
      <c r="G61" s="17">
        <v>1</v>
      </c>
      <c r="H61" s="55">
        <v>26600</v>
      </c>
      <c r="I61" s="18" t="s">
        <v>48</v>
      </c>
    </row>
    <row r="62" spans="1:9" x14ac:dyDescent="0.45">
      <c r="A62" s="19"/>
      <c r="B62" s="40"/>
      <c r="C62" s="40"/>
      <c r="D62" s="40"/>
      <c r="E62" s="40"/>
      <c r="F62" s="40"/>
      <c r="G62" s="40"/>
      <c r="H62" s="40"/>
      <c r="I62" s="41"/>
    </row>
    <row r="63" spans="1:9" x14ac:dyDescent="0.45">
      <c r="A63" s="14" t="s">
        <v>86</v>
      </c>
      <c r="B63" s="15"/>
      <c r="C63" s="7" t="s">
        <v>87</v>
      </c>
      <c r="D63" s="16"/>
      <c r="E63" s="16"/>
      <c r="F63" s="55">
        <v>1760000</v>
      </c>
      <c r="G63" s="17">
        <v>1</v>
      </c>
      <c r="H63" s="55">
        <v>1760000</v>
      </c>
      <c r="I63" s="18"/>
    </row>
    <row r="64" spans="1:9" x14ac:dyDescent="0.45">
      <c r="A64" s="19"/>
      <c r="B64" s="40"/>
      <c r="C64" s="40"/>
      <c r="D64" s="40"/>
      <c r="E64" s="40"/>
      <c r="F64" s="40"/>
      <c r="G64" s="40"/>
      <c r="H64" s="40"/>
      <c r="I64" s="41"/>
    </row>
    <row r="65" spans="1:9" x14ac:dyDescent="0.45">
      <c r="A65" s="42" t="s">
        <v>88</v>
      </c>
      <c r="B65" s="43"/>
      <c r="C65" s="43"/>
      <c r="D65" s="43"/>
      <c r="E65" s="44"/>
      <c r="F65" s="56"/>
      <c r="G65" s="20"/>
      <c r="H65" s="56">
        <v>13041000</v>
      </c>
      <c r="I65" s="21"/>
    </row>
    <row r="66" spans="1:9" x14ac:dyDescent="0.45">
      <c r="A66" s="42" t="s">
        <v>89</v>
      </c>
      <c r="B66" s="43"/>
      <c r="C66" s="43"/>
      <c r="D66" s="43"/>
      <c r="E66" s="44"/>
      <c r="F66" s="56"/>
      <c r="G66" s="20"/>
      <c r="H66" s="56">
        <v>1760000</v>
      </c>
      <c r="I66" s="21"/>
    </row>
    <row r="67" spans="1:9" x14ac:dyDescent="0.45">
      <c r="A67" s="42" t="s">
        <v>90</v>
      </c>
      <c r="B67" s="43"/>
      <c r="C67" s="43"/>
      <c r="D67" s="43"/>
      <c r="E67" s="44"/>
      <c r="F67" s="56"/>
      <c r="G67" s="20"/>
      <c r="H67" s="56"/>
      <c r="I67" s="21"/>
    </row>
    <row r="68" spans="1:9" x14ac:dyDescent="0.45">
      <c r="A68" s="42" t="s">
        <v>91</v>
      </c>
      <c r="B68" s="43"/>
      <c r="C68" s="43"/>
      <c r="D68" s="43"/>
      <c r="E68" s="44"/>
      <c r="F68" s="56"/>
      <c r="G68" s="20"/>
      <c r="H68" s="56">
        <v>2309660</v>
      </c>
      <c r="I68" s="21"/>
    </row>
    <row r="69" spans="1:9" x14ac:dyDescent="0.45">
      <c r="A69" s="63" t="s">
        <v>102</v>
      </c>
      <c r="B69" s="64"/>
      <c r="C69" s="64"/>
      <c r="D69" s="64"/>
      <c r="E69" s="65"/>
      <c r="F69" s="66"/>
      <c r="G69" s="67"/>
      <c r="H69" s="66">
        <f>-(H17+H21+H25+H29+H33+H37+H41+H45+H49+H53+H57+H59+H61)*20%-9420</f>
        <v>-1810660</v>
      </c>
      <c r="I69" s="68"/>
    </row>
    <row r="70" spans="1:9" x14ac:dyDescent="0.45">
      <c r="A70" s="42" t="s">
        <v>92</v>
      </c>
      <c r="B70" s="43"/>
      <c r="C70" s="43"/>
      <c r="D70" s="43"/>
      <c r="E70" s="44"/>
      <c r="F70" s="56"/>
      <c r="G70" s="20"/>
      <c r="H70" s="56">
        <f>SUM(H65:H69)</f>
        <v>15300000</v>
      </c>
      <c r="I70" s="21"/>
    </row>
    <row r="71" spans="1:9" x14ac:dyDescent="0.45">
      <c r="A71" s="3"/>
    </row>
    <row r="72" spans="1:9" ht="17.5" thickBot="1" x14ac:dyDescent="0.5">
      <c r="A72" s="45" t="s">
        <v>93</v>
      </c>
      <c r="B72" s="46"/>
      <c r="C72" s="46"/>
      <c r="D72" s="46"/>
      <c r="E72" s="46"/>
      <c r="F72" s="46"/>
      <c r="G72" s="46"/>
      <c r="H72" s="46"/>
      <c r="I72" s="46"/>
    </row>
    <row r="73" spans="1:9" x14ac:dyDescent="0.45">
      <c r="A73" s="48" t="s">
        <v>94</v>
      </c>
      <c r="B73" s="49"/>
      <c r="C73" s="49"/>
      <c r="D73" s="49"/>
      <c r="E73" s="49"/>
      <c r="F73" s="49"/>
      <c r="G73" s="49"/>
      <c r="H73" s="49"/>
      <c r="I73" s="50"/>
    </row>
    <row r="74" spans="1:9" x14ac:dyDescent="0.45">
      <c r="A74" s="47"/>
      <c r="B74" s="51"/>
      <c r="C74" s="51"/>
      <c r="D74" s="51"/>
      <c r="E74" s="51"/>
      <c r="F74" s="51"/>
      <c r="G74" s="51"/>
      <c r="H74" s="51"/>
      <c r="I74" s="52"/>
    </row>
    <row r="75" spans="1:9" ht="17.5" thickBot="1" x14ac:dyDescent="0.5">
      <c r="A75" s="22"/>
      <c r="B75" s="5"/>
      <c r="C75" s="5"/>
      <c r="D75" s="5"/>
      <c r="E75" s="5"/>
      <c r="F75" s="58"/>
      <c r="G75" s="5"/>
      <c r="H75" s="58"/>
      <c r="I75" s="23"/>
    </row>
  </sheetData>
  <mergeCells count="57">
    <mergeCell ref="A69:E69"/>
    <mergeCell ref="A70:E70"/>
    <mergeCell ref="A72:I72"/>
    <mergeCell ref="A73:I73"/>
    <mergeCell ref="A74:I74"/>
    <mergeCell ref="B62:I62"/>
    <mergeCell ref="B64:I64"/>
    <mergeCell ref="A65:E65"/>
    <mergeCell ref="A66:E66"/>
    <mergeCell ref="A67:E67"/>
    <mergeCell ref="A68:E68"/>
    <mergeCell ref="B50:I50"/>
    <mergeCell ref="B52:I52"/>
    <mergeCell ref="B54:I54"/>
    <mergeCell ref="B56:I56"/>
    <mergeCell ref="B58:I58"/>
    <mergeCell ref="B60:I60"/>
    <mergeCell ref="B38:I38"/>
    <mergeCell ref="B40:I40"/>
    <mergeCell ref="B42:I42"/>
    <mergeCell ref="B44:I44"/>
    <mergeCell ref="B46:I46"/>
    <mergeCell ref="B48:I48"/>
    <mergeCell ref="B26:I26"/>
    <mergeCell ref="B28:I28"/>
    <mergeCell ref="B30:I30"/>
    <mergeCell ref="B32:I32"/>
    <mergeCell ref="B34:I34"/>
    <mergeCell ref="B36:I36"/>
    <mergeCell ref="A14:I14"/>
    <mergeCell ref="A15:I15"/>
    <mergeCell ref="B18:I18"/>
    <mergeCell ref="B20:I20"/>
    <mergeCell ref="B22:I22"/>
    <mergeCell ref="B24:I24"/>
    <mergeCell ref="B11:C11"/>
    <mergeCell ref="F11:I11"/>
    <mergeCell ref="B12:C12"/>
    <mergeCell ref="F12:I12"/>
    <mergeCell ref="A13:C13"/>
    <mergeCell ref="F13:I13"/>
    <mergeCell ref="B8:C8"/>
    <mergeCell ref="F8:H8"/>
    <mergeCell ref="B9:C9"/>
    <mergeCell ref="E9:E10"/>
    <mergeCell ref="F9:I10"/>
    <mergeCell ref="B10:C10"/>
    <mergeCell ref="B2:H2"/>
    <mergeCell ref="A3:I3"/>
    <mergeCell ref="A4:F4"/>
    <mergeCell ref="G4:I4"/>
    <mergeCell ref="A5:I5"/>
    <mergeCell ref="B6:C6"/>
    <mergeCell ref="F6:H6"/>
    <mergeCell ref="I6:I8"/>
    <mergeCell ref="B7:C7"/>
    <mergeCell ref="F7:H7"/>
  </mergeCells>
  <phoneticPr fontId="23" type="noConversion"/>
  <pageMargins left="0.35433070866141736" right="0.23622047244094491" top="0.98425196850393704" bottom="0.98425196850393704" header="0.51181102362204722" footer="0.51181102362204722"/>
  <pageSetup paperSize="9" scale="85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Control 8">
          <controlPr defaultSize="0" r:id="rId5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355600</xdr:colOff>
                <xdr:row>1</xdr:row>
                <xdr:rowOff>101600</xdr:rowOff>
              </to>
            </anchor>
          </controlPr>
        </control>
      </mc:Choice>
      <mc:Fallback>
        <control shapeId="1032" r:id="rId4" name="Control 8"/>
      </mc:Fallback>
    </mc:AlternateContent>
    <mc:AlternateContent xmlns:mc="http://schemas.openxmlformats.org/markup-compatibility/2006">
      <mc:Choice Requires="x14">
        <control shapeId="1031" r:id="rId6" name="Control 7">
          <controlPr defaultSize="0" r:id="rId7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355600</xdr:colOff>
                <xdr:row>1</xdr:row>
                <xdr:rowOff>101600</xdr:rowOff>
              </to>
            </anchor>
          </controlPr>
        </control>
      </mc:Choice>
      <mc:Fallback>
        <control shapeId="1031" r:id="rId6" name="Control 7"/>
      </mc:Fallback>
    </mc:AlternateContent>
    <mc:AlternateContent xmlns:mc="http://schemas.openxmlformats.org/markup-compatibility/2006">
      <mc:Choice Requires="x14">
        <control shapeId="1030" r:id="rId8" name="Control 6">
          <controlPr defaultSize="0" r:id="rId9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355600</xdr:colOff>
                <xdr:row>1</xdr:row>
                <xdr:rowOff>101600</xdr:rowOff>
              </to>
            </anchor>
          </controlPr>
        </control>
      </mc:Choice>
      <mc:Fallback>
        <control shapeId="1030" r:id="rId8" name="Control 6"/>
      </mc:Fallback>
    </mc:AlternateContent>
    <mc:AlternateContent xmlns:mc="http://schemas.openxmlformats.org/markup-compatibility/2006">
      <mc:Choice Requires="x14">
        <control shapeId="1029" r:id="rId10" name="Control 5">
          <controlPr defaultSize="0" r:id="rId11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355600</xdr:colOff>
                <xdr:row>1</xdr:row>
                <xdr:rowOff>101600</xdr:rowOff>
              </to>
            </anchor>
          </controlPr>
        </control>
      </mc:Choice>
      <mc:Fallback>
        <control shapeId="1029" r:id="rId10" name="Control 5"/>
      </mc:Fallback>
    </mc:AlternateContent>
    <mc:AlternateContent xmlns:mc="http://schemas.openxmlformats.org/markup-compatibility/2006">
      <mc:Choice Requires="x14">
        <control shapeId="1028" r:id="rId12" name="Control 4">
          <controlPr defaultSize="0" r:id="rId13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355600</xdr:colOff>
                <xdr:row>1</xdr:row>
                <xdr:rowOff>101600</xdr:rowOff>
              </to>
            </anchor>
          </controlPr>
        </control>
      </mc:Choice>
      <mc:Fallback>
        <control shapeId="1028" r:id="rId12" name="Control 4"/>
      </mc:Fallback>
    </mc:AlternateContent>
    <mc:AlternateContent xmlns:mc="http://schemas.openxmlformats.org/markup-compatibility/2006">
      <mc:Choice Requires="x14">
        <control shapeId="1027" r:id="rId14" name="Control 3">
          <controlPr defaultSize="0" r:id="rId13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355600</xdr:colOff>
                <xdr:row>1</xdr:row>
                <xdr:rowOff>101600</xdr:rowOff>
              </to>
            </anchor>
          </controlPr>
        </control>
      </mc:Choice>
      <mc:Fallback>
        <control shapeId="1027" r:id="rId14" name="Control 3"/>
      </mc:Fallback>
    </mc:AlternateContent>
    <mc:AlternateContent xmlns:mc="http://schemas.openxmlformats.org/markup-compatibility/2006">
      <mc:Choice Requires="x14">
        <control shapeId="1026" r:id="rId15" name="Control 2">
          <controlPr defaultSize="0" r:id="rId13">
            <anchor moveWithCells="1">
              <from>
                <xdr:col>0</xdr:col>
                <xdr:colOff>666750</xdr:colOff>
                <xdr:row>0</xdr:row>
                <xdr:rowOff>0</xdr:rowOff>
              </from>
              <to>
                <xdr:col>2</xdr:col>
                <xdr:colOff>317500</xdr:colOff>
                <xdr:row>1</xdr:row>
                <xdr:rowOff>101600</xdr:rowOff>
              </to>
            </anchor>
          </controlPr>
        </control>
      </mc:Choice>
      <mc:Fallback>
        <control shapeId="1026" r:id="rId15" name="Control 2"/>
      </mc:Fallback>
    </mc:AlternateContent>
    <mc:AlternateContent xmlns:mc="http://schemas.openxmlformats.org/markup-compatibility/2006">
      <mc:Choice Requires="x14">
        <control shapeId="1025" r:id="rId16" name="Control 1">
          <controlPr defaultSize="0" r:id="rId1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209550</xdr:colOff>
                <xdr:row>1</xdr:row>
                <xdr:rowOff>101600</xdr:rowOff>
              </to>
            </anchor>
          </controlPr>
        </control>
      </mc:Choice>
      <mc:Fallback>
        <control shapeId="1025" r:id="rId1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.이응세/lxzin인테리어</dc:creator>
  <cp:lastModifiedBy>이응세</cp:lastModifiedBy>
  <cp:lastPrinted>2026-07-16T02:37:43Z</cp:lastPrinted>
  <dcterms:created xsi:type="dcterms:W3CDTF">2026-07-16T02:10:28Z</dcterms:created>
  <dcterms:modified xsi:type="dcterms:W3CDTF">2026-07-16T02:38:34Z</dcterms:modified>
</cp:coreProperties>
</file>