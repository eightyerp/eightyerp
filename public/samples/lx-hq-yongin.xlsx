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ktb91\Desktop\견적서\신축\성복동 단독주택\"/>
    </mc:Choice>
  </mc:AlternateContent>
  <xr:revisionPtr revIDLastSave="0" documentId="13_ncr:1_{2D435D73-F8F3-4093-AE1A-568855EFC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4-02-22 (2)" sheetId="2" r:id="rId1"/>
    <sheet name="2024-02-22" sheetId="1" r:id="rId2"/>
  </sheets>
  <definedNames>
    <definedName name="_xlnm.Print_Area" localSheetId="0">'2024-02-22 (2)'!$A$1:$N$57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2" l="1"/>
  <c r="M43" i="2"/>
  <c r="M42" i="2"/>
  <c r="M41" i="2"/>
  <c r="M40" i="2"/>
  <c r="M39" i="2"/>
  <c r="N39" i="2" s="1"/>
  <c r="M38" i="2"/>
  <c r="M37" i="2"/>
  <c r="M36" i="2"/>
  <c r="N36" i="2" s="1"/>
  <c r="M35" i="2"/>
  <c r="M34" i="2"/>
  <c r="M33" i="2"/>
  <c r="M32" i="2"/>
  <c r="M31" i="2"/>
  <c r="N31" i="2" s="1"/>
  <c r="M30" i="2"/>
  <c r="M29" i="2"/>
  <c r="M28" i="2"/>
  <c r="N28" i="2" s="1"/>
  <c r="M27" i="2"/>
  <c r="M26" i="2"/>
  <c r="M25" i="2"/>
  <c r="M24" i="2"/>
  <c r="M23" i="2"/>
  <c r="M22" i="2"/>
  <c r="M21" i="2"/>
  <c r="M20" i="2"/>
  <c r="N20" i="2" s="1"/>
  <c r="M19" i="2"/>
  <c r="M18" i="2"/>
  <c r="M17" i="2"/>
  <c r="M16" i="2"/>
  <c r="N23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N43" i="2"/>
  <c r="N42" i="2"/>
  <c r="N41" i="2"/>
  <c r="N40" i="2"/>
  <c r="N35" i="2"/>
  <c r="N34" i="2"/>
  <c r="N33" i="2"/>
  <c r="N32" i="2"/>
  <c r="N27" i="2"/>
  <c r="N26" i="2"/>
  <c r="N25" i="2"/>
  <c r="N24" i="2"/>
  <c r="N19" i="2"/>
  <c r="N18" i="2"/>
  <c r="N17" i="2"/>
  <c r="N45" i="2"/>
  <c r="N16" i="2" l="1"/>
  <c r="N21" i="2"/>
  <c r="N29" i="2"/>
  <c r="N37" i="2"/>
  <c r="N22" i="2"/>
  <c r="N30" i="2"/>
  <c r="N38" i="2"/>
  <c r="N44" i="2" s="1"/>
  <c r="N50" i="2" s="1"/>
  <c r="D11" i="2" s="1"/>
</calcChain>
</file>

<file path=xl/sharedStrings.xml><?xml version="1.0" encoding="utf-8"?>
<sst xmlns="http://schemas.openxmlformats.org/spreadsheetml/2006/main" count="512" uniqueCount="150">
  <si>
    <t>견     적     서</t>
  </si>
  <si>
    <t>견 적 번 호 :</t>
  </si>
  <si>
    <t>TE2024021600361</t>
  </si>
  <si>
    <t>상      호</t>
  </si>
  <si>
    <t>견 적 일 자 :</t>
  </si>
  <si>
    <t>2024-02-18   (유 효 일 자 : )</t>
  </si>
  <si>
    <t>거  래  처 :</t>
  </si>
  <si>
    <t>사업자번호</t>
  </si>
  <si>
    <t>대  표  자</t>
  </si>
  <si>
    <t>한명호</t>
  </si>
  <si>
    <t>현      장 :</t>
  </si>
  <si>
    <t>나동 101호</t>
  </si>
  <si>
    <t xml:space="preserve">주      소 </t>
  </si>
  <si>
    <t>서울시 중구 후암로 98</t>
  </si>
  <si>
    <t>금      액 :</t>
  </si>
  <si>
    <t>103,455,100  </t>
  </si>
  <si>
    <t>담      당</t>
  </si>
  <si>
    <t>전      화</t>
  </si>
  <si>
    <t>No</t>
  </si>
  <si>
    <t>구분</t>
  </si>
  <si>
    <t>모델명</t>
  </si>
  <si>
    <t>창</t>
  </si>
  <si>
    <t>규격</t>
  </si>
  <si>
    <t>벤트/핸들높이</t>
  </si>
  <si>
    <t>유리(내/외/두깨)</t>
  </si>
  <si>
    <t>방충망</t>
  </si>
  <si>
    <t>색상(외부+내부)</t>
  </si>
  <si>
    <t>수량</t>
  </si>
  <si>
    <t>완성창 총금액</t>
  </si>
  <si>
    <t>유리 총금액</t>
  </si>
  <si>
    <t>표준시공 총금액</t>
  </si>
  <si>
    <t>합    계</t>
  </si>
  <si>
    <t>R2</t>
  </si>
  <si>
    <t>1_E9-ASH90</t>
  </si>
  <si>
    <t>1V1F</t>
  </si>
  <si>
    <t>3500X1500</t>
  </si>
  <si>
    <t>900/725</t>
  </si>
  <si>
    <t>GM7SC5G5S5S44A2(단열3/S로이2/5GN5SP5SP/43/Ar/반2) GM7SC5G5S5S44A2(단열3/S로이2/5GN5SP5SP/43/Ar/반2)</t>
  </si>
  <si>
    <t>포함</t>
  </si>
  <si>
    <t>2coat 특이(조광색상기준)+2coat특이(조광색상기준)</t>
  </si>
  <si>
    <t>1_E9-ALS245 (창짝有)</t>
  </si>
  <si>
    <t>4150X2400</t>
  </si>
  <si>
    <t>1300/1010</t>
  </si>
  <si>
    <t>GM7SC5G5S5SCCA2(단열3/S로이2/5GN5SP5SP/51/Ar/반2) GM7SC5G5S5SCCA2(단열3/S로이2/5GN5SP5SP/51/Ar/반2)</t>
  </si>
  <si>
    <t>2_E9-ALS245 (FIX)</t>
  </si>
  <si>
    <t>0V1F</t>
  </si>
  <si>
    <t>2250X2400</t>
  </si>
  <si>
    <t>GM7SC5G5S5SCCA2(단열3/S로이2/5GN5SP5SP/51/Ar/반2)</t>
  </si>
  <si>
    <t>1500X2000</t>
  </si>
  <si>
    <t>1_E9-ATT90</t>
  </si>
  <si>
    <t>900X2000</t>
  </si>
  <si>
    <t>900/593.5</t>
  </si>
  <si>
    <t>1V0F</t>
  </si>
  <si>
    <t>600X1200</t>
  </si>
  <si>
    <t>600/581</t>
  </si>
  <si>
    <t>GM7SC5G5S5S44A2(단열3/S로이2/5GN5SP5SP/43/Ar/반2)</t>
  </si>
  <si>
    <t>2000X2400</t>
  </si>
  <si>
    <t>1120X2000</t>
  </si>
  <si>
    <t>GM7TS5G5S4AN(TPS2/S로이/5GN5SP/24/Ar/비강)</t>
  </si>
  <si>
    <t>700X1200</t>
  </si>
  <si>
    <t>800X2000</t>
  </si>
  <si>
    <t>3000X2000</t>
  </si>
  <si>
    <t>700X1600</t>
  </si>
  <si>
    <t>2500X2400</t>
  </si>
  <si>
    <t>1400X1200</t>
  </si>
  <si>
    <t>700/410</t>
  </si>
  <si>
    <t>1_E9-ADR80(Outward)_외산핸들(닥터한)_프로모션</t>
  </si>
  <si>
    <t>1000X2700</t>
  </si>
  <si>
    <t>1250X2700</t>
  </si>
  <si>
    <t>1250/1000</t>
  </si>
  <si>
    <t>900X2400</t>
  </si>
  <si>
    <t>R1</t>
  </si>
  <si>
    <t>S+255 이중창 S+255</t>
  </si>
  <si>
    <t>2w정_우</t>
  </si>
  <si>
    <t>2100X1700</t>
  </si>
  <si>
    <t>/중앙</t>
  </si>
  <si>
    <t>GM7TN5G5C4NN(TPS2/일반/5GN5CL/24/공기/비강) GM7TN5G5C4NN(TPS2/일반/5GN5CL/24/공기/비강) GM7TS5C5S4NN(TPS2/S로이/5CL5SP/24/공기/비강) GM7TS5C5S4NN(TPS2/S로이/5CL5SP/24/공기/비강)</t>
  </si>
  <si>
    <t>WH/ASA-DB+KDB86-G9W</t>
  </si>
  <si>
    <t>1600X2000</t>
  </si>
  <si>
    <t>2000X2000</t>
  </si>
  <si>
    <t>1800X1200</t>
  </si>
  <si>
    <t>1600X1200</t>
  </si>
  <si>
    <t>2W U/B 우타입</t>
  </si>
  <si>
    <t>2700X1700</t>
  </si>
  <si>
    <t>750/중앙</t>
  </si>
  <si>
    <t>2500X2000</t>
  </si>
  <si>
    <t>[ 창 호 계 ]</t>
  </si>
  <si>
    <t>[ 표 준 시 공 비 ]</t>
  </si>
  <si>
    <t>[ 시 공 계 ]</t>
  </si>
  <si>
    <t>[ 기 타 부 품 할 인 ]</t>
  </si>
  <si>
    <t>[ 가 격 조 정 ]</t>
  </si>
  <si>
    <t>[ 총 계 ]</t>
  </si>
  <si>
    <t> 103,455,100 </t>
  </si>
  <si>
    <t>※견적조건 및 안내사항</t>
  </si>
  <si>
    <t>  1. 부가세 포함</t>
  </si>
  <si>
    <t>  2. 유리사양: 세부항목 참조</t>
  </si>
  <si>
    <t>  3. 수량 및 형태 변경시 정산 조건임</t>
  </si>
  <si>
    <t>  4. 소량 물류비는 주문 시점에 수량 증감에 따라 변경이 가능함</t>
  </si>
  <si>
    <t>※ 신축 건축물에서 건축주 또는 건축사업자는 창호와 골조사이에 방수조치(실리콘 코킹 등)가 가능하도록 건축공정순서를 조정하여야 합니다.</t>
  </si>
  <si>
    <t>(참조: 한국건설기술연구원 "소규모건축물 품질향상 가이드" ). 만약 건축공정으로 인하여 창호 시공자가 실리콘코킹이 불가할 경우 누수의 우려가 있을 수 있습니다.</t>
  </si>
  <si>
    <t>ASW01</t>
    <phoneticPr fontId="23" type="noConversion"/>
  </si>
  <si>
    <t>ASW02</t>
  </si>
  <si>
    <t>ASW02-1</t>
    <phoneticPr fontId="23" type="noConversion"/>
  </si>
  <si>
    <t>ASW03</t>
    <phoneticPr fontId="23" type="noConversion"/>
  </si>
  <si>
    <t>ASW04</t>
  </si>
  <si>
    <t>ASW05</t>
  </si>
  <si>
    <t>ASW06</t>
  </si>
  <si>
    <t>ASW07</t>
  </si>
  <si>
    <t>ASW08</t>
  </si>
  <si>
    <t>ASW09</t>
  </si>
  <si>
    <t>ASW10</t>
  </si>
  <si>
    <t>ASW11</t>
  </si>
  <si>
    <t>ASW12</t>
  </si>
  <si>
    <t>ASW13</t>
  </si>
  <si>
    <t>ASW14</t>
  </si>
  <si>
    <t>ASW15</t>
  </si>
  <si>
    <t>ASD01</t>
    <phoneticPr fontId="23" type="noConversion"/>
  </si>
  <si>
    <t>ASD02</t>
  </si>
  <si>
    <t>ASD03</t>
  </si>
  <si>
    <t>FSD01</t>
    <phoneticPr fontId="23" type="noConversion"/>
  </si>
  <si>
    <t>PW01</t>
    <phoneticPr fontId="23" type="noConversion"/>
  </si>
  <si>
    <t>PW02</t>
  </si>
  <si>
    <t>PW03</t>
  </si>
  <si>
    <t>PW04</t>
  </si>
  <si>
    <t>PW05</t>
  </si>
  <si>
    <t>PW06</t>
  </si>
  <si>
    <t>PW07</t>
  </si>
  <si>
    <t>PW08</t>
  </si>
  <si>
    <t>1_E9-ADR80(Outward)</t>
    <phoneticPr fontId="23" type="noConversion"/>
  </si>
  <si>
    <t>방화문</t>
    <phoneticPr fontId="23" type="noConversion"/>
  </si>
  <si>
    <t>800X1800</t>
    <phoneticPr fontId="23" type="noConversion"/>
  </si>
  <si>
    <t>색상지정</t>
    <phoneticPr fontId="23" type="noConversion"/>
  </si>
  <si>
    <t>성복동 단독주택</t>
    <phoneticPr fontId="23" type="noConversion"/>
  </si>
  <si>
    <t>건축주님</t>
    <phoneticPr fontId="23" type="noConversion"/>
  </si>
  <si>
    <t>단열3/S로이2/5GN5SP5SP/43/Ar/반2</t>
    <phoneticPr fontId="23" type="noConversion"/>
  </si>
  <si>
    <t>단열3/S로이2/5GN5SP5SP/51/Ar/반2</t>
    <phoneticPr fontId="23" type="noConversion"/>
  </si>
  <si>
    <t>TPS2/S로이/5GN5SP/24/Ar/비강</t>
    <phoneticPr fontId="23" type="noConversion"/>
  </si>
  <si>
    <t>TPS2/S로이/5CL5SP/24/공기/비강</t>
    <phoneticPr fontId="23" type="noConversion"/>
  </si>
  <si>
    <t>[ 장비/양중 ]</t>
    <phoneticPr fontId="23" type="noConversion"/>
  </si>
  <si>
    <t>[ 외부코킹 ]</t>
    <phoneticPr fontId="23" type="noConversion"/>
  </si>
  <si>
    <t>[ 운반비 ]</t>
    <phoneticPr fontId="23" type="noConversion"/>
  </si>
  <si>
    <t>재협의</t>
    <phoneticPr fontId="23" type="noConversion"/>
  </si>
  <si>
    <t>[ 단수정리 ]</t>
    <phoneticPr fontId="23" type="noConversion"/>
  </si>
  <si>
    <t>현장 방문 후 재결정</t>
    <phoneticPr fontId="23" type="noConversion"/>
  </si>
  <si>
    <t>(부가세별도)</t>
    <phoneticPr fontId="23" type="noConversion"/>
  </si>
  <si>
    <t>  1. 부가세 별도</t>
    <phoneticPr fontId="23" type="noConversion"/>
  </si>
  <si>
    <t>532-81-02974</t>
    <phoneticPr fontId="23" type="noConversion"/>
  </si>
  <si>
    <t>이응세</t>
    <phoneticPr fontId="23" type="noConversion"/>
  </si>
  <si>
    <t>010-7118-4214</t>
    <phoneticPr fontId="23" type="noConversion"/>
  </si>
  <si>
    <t>서울특별시 노원구 영중로 9, 신세계백화점 리빙관 7층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</si>
</sst>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25" x14ac:knownFonts="1"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8"/>
      <color rgb="FF000000"/>
      <name val="돋움"/>
      <family val="3"/>
      <charset val="129"/>
    </font>
    <font>
      <b/>
      <sz val="8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8"/>
      <color rgb="FFFF0000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0000"/>
      <name val="돋움"/>
      <family val="3"/>
      <charset val="129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DBDBD"/>
        <bgColor rgb="FF000000"/>
      </patternFill>
    </fill>
    <fill>
      <patternFill patternType="solid">
        <fgColor indexed="65"/>
        <bgColor rgb="FF000000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0" fillId="33" borderId="0" xfId="0" applyFill="1">
      <alignment vertical="center"/>
    </xf>
    <xf numFmtId="0" fontId="18" fillId="34" borderId="0" xfId="0" applyFont="1" applyFill="1" applyAlignment="1">
      <alignment horizontal="center" vertical="center" wrapText="1"/>
    </xf>
    <xf numFmtId="0" fontId="20" fillId="35" borderId="21" xfId="0" applyFont="1" applyFill="1" applyBorder="1" applyAlignment="1">
      <alignment horizontal="center" vertical="center" wrapText="1"/>
    </xf>
    <xf numFmtId="0" fontId="20" fillId="35" borderId="13" xfId="0" applyFont="1" applyFill="1" applyBorder="1" applyAlignment="1">
      <alignment horizontal="center" vertical="center" wrapText="1"/>
    </xf>
    <xf numFmtId="176" fontId="20" fillId="36" borderId="22" xfId="0" applyNumberFormat="1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  <xf numFmtId="176" fontId="20" fillId="36" borderId="22" xfId="0" applyNumberFormat="1" applyFont="1" applyFill="1" applyBorder="1" applyAlignment="1">
      <alignment horizontal="right" vertical="center" wrapText="1"/>
    </xf>
    <xf numFmtId="176" fontId="20" fillId="36" borderId="25" xfId="0" applyNumberFormat="1" applyFont="1" applyFill="1" applyBorder="1" applyAlignment="1">
      <alignment horizontal="center" vertical="center" wrapText="1"/>
    </xf>
    <xf numFmtId="0" fontId="20" fillId="36" borderId="26" xfId="0" applyFont="1" applyFill="1" applyBorder="1" applyAlignment="1">
      <alignment horizontal="right" vertical="center" wrapText="1"/>
    </xf>
    <xf numFmtId="176" fontId="20" fillId="36" borderId="26" xfId="0" applyNumberFormat="1" applyFont="1" applyFill="1" applyBorder="1" applyAlignment="1">
      <alignment horizontal="right" vertical="center" wrapText="1"/>
    </xf>
    <xf numFmtId="0" fontId="20" fillId="35" borderId="26" xfId="0" applyFont="1" applyFill="1" applyBorder="1" applyAlignment="1">
      <alignment horizontal="right" vertical="center" wrapText="1"/>
    </xf>
    <xf numFmtId="0" fontId="21" fillId="34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left" vertical="center" wrapText="1"/>
    </xf>
    <xf numFmtId="0" fontId="21" fillId="34" borderId="33" xfId="0" applyFont="1" applyFill="1" applyBorder="1" applyAlignment="1">
      <alignment horizontal="center" vertical="center"/>
    </xf>
    <xf numFmtId="0" fontId="21" fillId="34" borderId="34" xfId="0" applyFont="1" applyFill="1" applyBorder="1" applyAlignment="1">
      <alignment horizontal="center" vertical="center"/>
    </xf>
    <xf numFmtId="0" fontId="21" fillId="34" borderId="35" xfId="0" applyFont="1" applyFill="1" applyBorder="1" applyAlignment="1">
      <alignment horizontal="center" vertical="center"/>
    </xf>
    <xf numFmtId="41" fontId="0" fillId="33" borderId="0" xfId="1" applyFont="1" applyFill="1">
      <alignment vertical="center"/>
    </xf>
    <xf numFmtId="176" fontId="20" fillId="35" borderId="26" xfId="0" applyNumberFormat="1" applyFont="1" applyFill="1" applyBorder="1" applyAlignment="1">
      <alignment horizontal="right" vertical="center" wrapText="1"/>
    </xf>
    <xf numFmtId="176" fontId="20" fillId="36" borderId="23" xfId="0" applyNumberFormat="1" applyFont="1" applyFill="1" applyBorder="1" applyAlignment="1">
      <alignment horizontal="center" vertical="center" wrapText="1"/>
    </xf>
    <xf numFmtId="176" fontId="20" fillId="36" borderId="27" xfId="0" applyNumberFormat="1" applyFont="1" applyFill="1" applyBorder="1" applyAlignment="1">
      <alignment horizontal="center" vertical="center" wrapText="1"/>
    </xf>
    <xf numFmtId="176" fontId="20" fillId="36" borderId="24" xfId="0" applyNumberFormat="1" applyFont="1" applyFill="1" applyBorder="1" applyAlignment="1">
      <alignment horizontal="center" vertical="center" wrapText="1"/>
    </xf>
    <xf numFmtId="0" fontId="20" fillId="36" borderId="28" xfId="0" applyFont="1" applyFill="1" applyBorder="1" applyAlignment="1">
      <alignment horizontal="left" vertical="center" wrapText="1"/>
    </xf>
    <xf numFmtId="0" fontId="20" fillId="36" borderId="29" xfId="0" applyFont="1" applyFill="1" applyBorder="1" applyAlignment="1">
      <alignment horizontal="left" vertical="center" wrapText="1"/>
    </xf>
    <xf numFmtId="0" fontId="20" fillId="36" borderId="30" xfId="0" applyFont="1" applyFill="1" applyBorder="1" applyAlignment="1">
      <alignment horizontal="left" vertical="center" wrapText="1"/>
    </xf>
    <xf numFmtId="0" fontId="20" fillId="36" borderId="31" xfId="0" applyFont="1" applyFill="1" applyBorder="1" applyAlignment="1">
      <alignment horizontal="left" vertical="center" wrapText="1"/>
    </xf>
    <xf numFmtId="0" fontId="20" fillId="36" borderId="0" xfId="0" applyFont="1" applyFill="1" applyAlignment="1">
      <alignment horizontal="left" vertical="center" wrapText="1"/>
    </xf>
    <xf numFmtId="0" fontId="20" fillId="36" borderId="32" xfId="0" applyFont="1" applyFill="1" applyBorder="1" applyAlignment="1">
      <alignment horizontal="left" vertical="center" wrapText="1"/>
    </xf>
    <xf numFmtId="0" fontId="22" fillId="36" borderId="29" xfId="0" applyFont="1" applyFill="1" applyBorder="1" applyAlignment="1">
      <alignment horizontal="left" vertical="center" wrapText="1"/>
    </xf>
    <xf numFmtId="0" fontId="22" fillId="36" borderId="0" xfId="0" applyFont="1" applyFill="1" applyAlignment="1">
      <alignment horizontal="left" vertical="center" wrapText="1"/>
    </xf>
    <xf numFmtId="0" fontId="20" fillId="35" borderId="23" xfId="0" applyFont="1" applyFill="1" applyBorder="1" applyAlignment="1">
      <alignment horizontal="center" vertical="center" wrapText="1"/>
    </xf>
    <xf numFmtId="0" fontId="20" fillId="35" borderId="27" xfId="0" applyFont="1" applyFill="1" applyBorder="1" applyAlignment="1">
      <alignment horizontal="center" vertical="center" wrapText="1"/>
    </xf>
    <xf numFmtId="0" fontId="20" fillId="36" borderId="34" xfId="0" applyFont="1" applyFill="1" applyBorder="1" applyAlignment="1">
      <alignment horizontal="left" vertical="center" wrapText="1"/>
    </xf>
    <xf numFmtId="0" fontId="18" fillId="34" borderId="0" xfId="0" applyFont="1" applyFill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20" fillId="35" borderId="24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76" fontId="24" fillId="0" borderId="10" xfId="0" applyNumberFormat="1" applyFont="1" applyBorder="1" applyAlignment="1">
      <alignment horizontal="right" vertical="center" wrapText="1"/>
    </xf>
    <xf numFmtId="0" fontId="24" fillId="0" borderId="11" xfId="0" applyFont="1" applyBorder="1" applyAlignment="1">
      <alignment horizontal="right" vertical="center" wrapText="1"/>
    </xf>
    <xf numFmtId="0" fontId="24" fillId="0" borderId="12" xfId="0" applyFont="1" applyBorder="1" applyAlignment="1">
      <alignment horizontal="right" vertical="center" wrapText="1"/>
    </xf>
    <xf numFmtId="0" fontId="24" fillId="0" borderId="14" xfId="0" applyFont="1" applyBorder="1" applyAlignment="1">
      <alignment horizontal="right" vertical="center" wrapText="1"/>
    </xf>
    <xf numFmtId="0" fontId="24" fillId="0" borderId="15" xfId="0" applyFont="1" applyBorder="1" applyAlignment="1">
      <alignment horizontal="right" vertical="center" wrapText="1"/>
    </xf>
    <xf numFmtId="0" fontId="24" fillId="0" borderId="16" xfId="0" applyFont="1" applyBorder="1" applyAlignment="1">
      <alignment horizontal="right" vertical="center" wrapText="1"/>
    </xf>
    <xf numFmtId="0" fontId="18" fillId="34" borderId="37" xfId="0" applyFont="1" applyFill="1" applyBorder="1" applyAlignment="1">
      <alignment horizontal="left" wrapText="1"/>
    </xf>
    <xf numFmtId="0" fontId="18" fillId="34" borderId="38" xfId="0" applyFont="1" applyFill="1" applyBorder="1" applyAlignment="1">
      <alignment horizontal="left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8" fillId="34" borderId="37" xfId="0" applyFont="1" applyFill="1" applyBorder="1" applyAlignment="1">
      <alignment horizontal="center" vertical="center" wrapText="1"/>
    </xf>
    <xf numFmtId="0" fontId="18" fillId="34" borderId="38" xfId="0" applyFont="1" applyFill="1" applyBorder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0" fontId="20" fillId="36" borderId="23" xfId="0" applyFont="1" applyFill="1" applyBorder="1" applyAlignment="1">
      <alignment horizontal="right" vertical="center" wrapText="1"/>
    </xf>
    <xf numFmtId="0" fontId="20" fillId="36" borderId="24" xfId="0" applyFont="1" applyFill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2" xfId="0" applyFont="1" applyBorder="1" applyAlignment="1">
      <alignment horizontal="right" vertical="center" wrapText="1"/>
    </xf>
    <xf numFmtId="0" fontId="20" fillId="0" borderId="14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6" xfId="0" applyFont="1" applyBorder="1" applyAlignment="1">
      <alignment horizontal="right" vertical="center" wrapText="1"/>
    </xf>
    <xf numFmtId="176" fontId="0" fillId="33" borderId="0" xfId="0" applyNumberForma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ins2-d.hausyswindow.com/resource/images/esti_lx_logo.gif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://wins2-d.hausyswindow.com/resource/images/esti_lx_logo.gif" TargetMode="Externa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6.emf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647700</xdr:colOff>
          <xdr:row>1</xdr:row>
          <xdr:rowOff>19050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152400</xdr:colOff>
          <xdr:row>1</xdr:row>
          <xdr:rowOff>19050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10</xdr:col>
      <xdr:colOff>66675</xdr:colOff>
      <xdr:row>4</xdr:row>
      <xdr:rowOff>76201</xdr:rowOff>
    </xdr:from>
    <xdr:to>
      <xdr:col>12</xdr:col>
      <xdr:colOff>704850</xdr:colOff>
      <xdr:row>5</xdr:row>
      <xdr:rowOff>142876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15875" y="1000126"/>
          <a:ext cx="20955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304800</xdr:colOff>
          <xdr:row>1</xdr:row>
          <xdr:rowOff>19050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1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2</xdr:col>
          <xdr:colOff>571500</xdr:colOff>
          <xdr:row>1</xdr:row>
          <xdr:rowOff>19050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10</xdr:col>
      <xdr:colOff>0</xdr:colOff>
      <xdr:row>4</xdr:row>
      <xdr:rowOff>0</xdr:rowOff>
    </xdr:from>
    <xdr:to>
      <xdr:col>13</xdr:col>
      <xdr:colOff>161925</xdr:colOff>
      <xdr:row>6</xdr:row>
      <xdr:rowOff>9525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0" y="923925"/>
          <a:ext cx="20955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4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6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8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3.emf"/><Relationship Id="rId5" Type="http://schemas.openxmlformats.org/officeDocument/2006/relationships/image" Target="../media/image1.emf"/><Relationship Id="rId15" Type="http://schemas.openxmlformats.org/officeDocument/2006/relationships/image" Target="../media/image5.emf"/><Relationship Id="rId10" Type="http://schemas.openxmlformats.org/officeDocument/2006/relationships/control" Target="../activeX/activeX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4.xml"/><Relationship Id="rId14" Type="http://schemas.openxmlformats.org/officeDocument/2006/relationships/control" Target="../activeX/activeX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13" Type="http://schemas.openxmlformats.org/officeDocument/2006/relationships/control" Target="../activeX/activeX15.xml"/><Relationship Id="rId3" Type="http://schemas.openxmlformats.org/officeDocument/2006/relationships/control" Target="../activeX/activeX9.xml"/><Relationship Id="rId7" Type="http://schemas.openxmlformats.org/officeDocument/2006/relationships/control" Target="../activeX/activeX11.xml"/><Relationship Id="rId12" Type="http://schemas.openxmlformats.org/officeDocument/2006/relationships/image" Target="../media/image8.emf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2.emf"/><Relationship Id="rId11" Type="http://schemas.openxmlformats.org/officeDocument/2006/relationships/control" Target="../activeX/activeX14.xml"/><Relationship Id="rId5" Type="http://schemas.openxmlformats.org/officeDocument/2006/relationships/control" Target="../activeX/activeX10.xml"/><Relationship Id="rId15" Type="http://schemas.openxmlformats.org/officeDocument/2006/relationships/control" Target="../activeX/activeX16.xml"/><Relationship Id="rId10" Type="http://schemas.openxmlformats.org/officeDocument/2006/relationships/image" Target="../media/image7.emf"/><Relationship Id="rId4" Type="http://schemas.openxmlformats.org/officeDocument/2006/relationships/image" Target="../media/image6.emf"/><Relationship Id="rId9" Type="http://schemas.openxmlformats.org/officeDocument/2006/relationships/control" Target="../activeX/activeX13.xml"/><Relationship Id="rId14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T59"/>
  <sheetViews>
    <sheetView showGridLines="0" tabSelected="1" workbookViewId="0">
      <selection activeCell="G5" sqref="G5:H5"/>
    </sheetView>
  </sheetViews>
  <sheetFormatPr defaultRowHeight="16.5" x14ac:dyDescent="0.3"/>
  <cols>
    <col min="1" max="1" width="3.5" style="1" bestFit="1" customWidth="1"/>
    <col min="2" max="2" width="10" style="1" customWidth="1"/>
    <col min="3" max="3" width="28.5" style="1" customWidth="1"/>
    <col min="4" max="4" width="12.625" style="1" bestFit="1" customWidth="1"/>
    <col min="5" max="5" width="9.625" style="1" bestFit="1" customWidth="1"/>
    <col min="6" max="6" width="11.25" style="1" bestFit="1" customWidth="1"/>
    <col min="7" max="8" width="22" style="1" customWidth="1"/>
    <col min="9" max="9" width="6" style="1" bestFit="1" customWidth="1"/>
    <col min="10" max="10" width="21.75" style="1" customWidth="1"/>
    <col min="11" max="11" width="4.5" style="1" bestFit="1" customWidth="1"/>
    <col min="12" max="14" width="14.625" style="1" customWidth="1"/>
    <col min="15" max="16" width="9" style="1"/>
    <col min="17" max="17" width="9.25" style="1" bestFit="1" customWidth="1"/>
    <col min="18" max="18" width="11.875" style="1" bestFit="1" customWidth="1"/>
    <col min="19" max="16384" width="9" style="1"/>
  </cols>
  <sheetData>
    <row r="1" spans="1:20" x14ac:dyDescent="0.3">
      <c r="A1" s="2"/>
    </row>
    <row r="2" spans="1:20" ht="24.95" customHeight="1" x14ac:dyDescent="0.3">
      <c r="A2" s="2"/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2"/>
    </row>
    <row r="3" spans="1:20" ht="15.6" customHeigh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20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20" ht="12.95" customHeight="1" x14ac:dyDescent="0.3">
      <c r="A5" s="50" t="s">
        <v>1</v>
      </c>
      <c r="B5" s="52"/>
      <c r="C5" s="51"/>
      <c r="D5" s="50"/>
      <c r="E5" s="52"/>
      <c r="F5" s="53"/>
      <c r="G5" s="63"/>
      <c r="H5" s="64"/>
      <c r="I5" s="36" t="s">
        <v>3</v>
      </c>
      <c r="J5" s="38"/>
      <c r="K5" s="36"/>
      <c r="L5" s="37"/>
      <c r="M5" s="37"/>
      <c r="N5" s="61"/>
    </row>
    <row r="6" spans="1:20" ht="12.95" customHeight="1" x14ac:dyDescent="0.3">
      <c r="A6" s="50" t="s">
        <v>4</v>
      </c>
      <c r="B6" s="52"/>
      <c r="C6" s="51"/>
      <c r="D6" s="50" t="s">
        <v>5</v>
      </c>
      <c r="E6" s="52"/>
      <c r="F6" s="53"/>
      <c r="G6" s="63"/>
      <c r="H6" s="64"/>
      <c r="I6" s="58"/>
      <c r="J6" s="60"/>
      <c r="K6" s="58"/>
      <c r="L6" s="59"/>
      <c r="M6" s="59"/>
      <c r="N6" s="62"/>
    </row>
    <row r="7" spans="1:20" ht="12.95" customHeight="1" x14ac:dyDescent="0.3">
      <c r="A7" s="36" t="s">
        <v>6</v>
      </c>
      <c r="B7" s="37"/>
      <c r="C7" s="38"/>
      <c r="D7" s="36" t="s">
        <v>133</v>
      </c>
      <c r="E7" s="37"/>
      <c r="F7" s="61"/>
      <c r="G7" s="63"/>
      <c r="H7" s="64"/>
      <c r="I7" s="50" t="s">
        <v>7</v>
      </c>
      <c r="J7" s="51"/>
      <c r="K7" s="50" t="s">
        <v>146</v>
      </c>
      <c r="L7" s="52"/>
      <c r="M7" s="52"/>
      <c r="N7" s="53"/>
    </row>
    <row r="8" spans="1:20" ht="12.95" customHeight="1" x14ac:dyDescent="0.3">
      <c r="A8" s="58"/>
      <c r="B8" s="59"/>
      <c r="C8" s="60"/>
      <c r="D8" s="58"/>
      <c r="E8" s="59"/>
      <c r="F8" s="62"/>
      <c r="G8" s="63"/>
      <c r="H8" s="64"/>
      <c r="I8" s="50" t="s">
        <v>8</v>
      </c>
      <c r="J8" s="51"/>
      <c r="K8" s="50" t="s">
        <v>147</v>
      </c>
      <c r="L8" s="52"/>
      <c r="M8" s="52"/>
      <c r="N8" s="53"/>
    </row>
    <row r="9" spans="1:20" ht="12.95" customHeight="1" x14ac:dyDescent="0.3">
      <c r="A9" s="36" t="s">
        <v>10</v>
      </c>
      <c r="B9" s="37"/>
      <c r="C9" s="38"/>
      <c r="D9" s="36" t="s">
        <v>132</v>
      </c>
      <c r="E9" s="37"/>
      <c r="F9" s="61"/>
      <c r="G9" s="63"/>
      <c r="H9" s="64"/>
      <c r="I9" s="36" t="s">
        <v>12</v>
      </c>
      <c r="J9" s="38"/>
      <c r="K9" s="50" t="s">
        <v>149</v>
      </c>
      <c r="L9" s="52"/>
      <c r="M9" s="52"/>
      <c r="N9" s="53"/>
    </row>
    <row r="10" spans="1:20" ht="12.95" customHeight="1" x14ac:dyDescent="0.3">
      <c r="A10" s="58"/>
      <c r="B10" s="59"/>
      <c r="C10" s="60"/>
      <c r="D10" s="58"/>
      <c r="E10" s="59"/>
      <c r="F10" s="62"/>
      <c r="G10" s="63"/>
      <c r="H10" s="64"/>
      <c r="I10" s="58"/>
      <c r="J10" s="60"/>
      <c r="K10" s="50"/>
      <c r="L10" s="52"/>
      <c r="M10" s="52"/>
      <c r="N10" s="53"/>
    </row>
    <row r="11" spans="1:20" ht="12.95" customHeight="1" x14ac:dyDescent="0.3">
      <c r="A11" s="36" t="s">
        <v>14</v>
      </c>
      <c r="B11" s="37"/>
      <c r="C11" s="38"/>
      <c r="D11" s="42">
        <f>N50</f>
        <v>97000000.399999976</v>
      </c>
      <c r="E11" s="43"/>
      <c r="F11" s="44"/>
      <c r="G11" s="48" t="s">
        <v>144</v>
      </c>
      <c r="H11" s="49"/>
      <c r="I11" s="50" t="s">
        <v>16</v>
      </c>
      <c r="J11" s="51"/>
      <c r="K11" s="50" t="s">
        <v>147</v>
      </c>
      <c r="L11" s="52"/>
      <c r="M11" s="52"/>
      <c r="N11" s="53"/>
    </row>
    <row r="12" spans="1:20" ht="12.95" customHeight="1" x14ac:dyDescent="0.3">
      <c r="A12" s="39"/>
      <c r="B12" s="40"/>
      <c r="C12" s="41"/>
      <c r="D12" s="45"/>
      <c r="E12" s="46"/>
      <c r="F12" s="47"/>
      <c r="G12" s="48"/>
      <c r="H12" s="49"/>
      <c r="I12" s="54" t="s">
        <v>17</v>
      </c>
      <c r="J12" s="55"/>
      <c r="K12" s="54" t="s">
        <v>148</v>
      </c>
      <c r="L12" s="56"/>
      <c r="M12" s="56"/>
      <c r="N12" s="57"/>
    </row>
    <row r="13" spans="1:20" ht="12.95" customHeight="1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20" ht="12.9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</row>
    <row r="15" spans="1:20" ht="12.95" customHeight="1" x14ac:dyDescent="0.3">
      <c r="A15" s="3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30" t="s">
        <v>24</v>
      </c>
      <c r="H15" s="35"/>
      <c r="I15" s="4" t="s">
        <v>25</v>
      </c>
      <c r="J15" s="4" t="s">
        <v>26</v>
      </c>
      <c r="K15" s="4" t="s">
        <v>27</v>
      </c>
      <c r="L15" s="4" t="s">
        <v>28</v>
      </c>
      <c r="M15" s="4" t="s">
        <v>29</v>
      </c>
      <c r="N15" s="3" t="s">
        <v>31</v>
      </c>
      <c r="P15" s="4" t="s">
        <v>28</v>
      </c>
      <c r="R15" s="4" t="s">
        <v>29</v>
      </c>
      <c r="T15" s="4" t="s">
        <v>30</v>
      </c>
    </row>
    <row r="16" spans="1:20" ht="18" customHeight="1" x14ac:dyDescent="0.3">
      <c r="A16" s="5">
        <v>1</v>
      </c>
      <c r="B16" s="5" t="s">
        <v>100</v>
      </c>
      <c r="C16" s="5" t="s">
        <v>33</v>
      </c>
      <c r="D16" s="5" t="s">
        <v>34</v>
      </c>
      <c r="E16" s="5" t="s">
        <v>35</v>
      </c>
      <c r="F16" s="6" t="s">
        <v>36</v>
      </c>
      <c r="G16" s="19" t="s">
        <v>134</v>
      </c>
      <c r="H16" s="21"/>
      <c r="I16" s="5" t="s">
        <v>38</v>
      </c>
      <c r="J16" s="5" t="s">
        <v>131</v>
      </c>
      <c r="K16" s="5">
        <v>1</v>
      </c>
      <c r="L16" s="7">
        <f>Q16</f>
        <v>1509090.9090909089</v>
      </c>
      <c r="M16" s="7">
        <f>S16</f>
        <v>874545.45454545447</v>
      </c>
      <c r="N16" s="7">
        <f>SUM(L16:M16)</f>
        <v>2383636.3636363633</v>
      </c>
      <c r="P16" s="5">
        <v>1660000</v>
      </c>
      <c r="Q16" s="74">
        <f>P16/1.1</f>
        <v>1509090.9090909089</v>
      </c>
      <c r="R16" s="5">
        <v>962000</v>
      </c>
      <c r="S16" s="74">
        <f>R16/1.1</f>
        <v>874545.45454545447</v>
      </c>
      <c r="T16" s="5">
        <v>385154</v>
      </c>
    </row>
    <row r="17" spans="1:20" ht="18" customHeight="1" x14ac:dyDescent="0.3">
      <c r="A17" s="5">
        <v>2</v>
      </c>
      <c r="B17" s="5" t="s">
        <v>101</v>
      </c>
      <c r="C17" s="5" t="s">
        <v>40</v>
      </c>
      <c r="D17" s="5" t="s">
        <v>34</v>
      </c>
      <c r="E17" s="5" t="s">
        <v>41</v>
      </c>
      <c r="F17" s="6" t="s">
        <v>42</v>
      </c>
      <c r="G17" s="19" t="s">
        <v>135</v>
      </c>
      <c r="H17" s="21"/>
      <c r="I17" s="5" t="s">
        <v>38</v>
      </c>
      <c r="J17" s="5" t="s">
        <v>131</v>
      </c>
      <c r="K17" s="5">
        <v>1</v>
      </c>
      <c r="L17" s="7">
        <f t="shared" ref="L17:L43" si="0">Q17</f>
        <v>4336363.6363636358</v>
      </c>
      <c r="M17" s="7">
        <f t="shared" ref="M17:M43" si="1">S17</f>
        <v>1703636.3636363635</v>
      </c>
      <c r="N17" s="7">
        <f t="shared" ref="N17:N43" si="2">SUM(L17:M17)</f>
        <v>6039999.9999999991</v>
      </c>
      <c r="P17" s="5">
        <v>4770000</v>
      </c>
      <c r="Q17" s="74">
        <f t="shared" ref="Q17:S43" si="3">P17/1.1</f>
        <v>4336363.6363636358</v>
      </c>
      <c r="R17" s="5">
        <v>1874000</v>
      </c>
      <c r="S17" s="74">
        <f t="shared" si="3"/>
        <v>1703636.3636363635</v>
      </c>
      <c r="T17" s="5">
        <v>646265</v>
      </c>
    </row>
    <row r="18" spans="1:20" ht="18" customHeight="1" x14ac:dyDescent="0.3">
      <c r="A18" s="5">
        <v>3</v>
      </c>
      <c r="B18" s="5" t="s">
        <v>102</v>
      </c>
      <c r="C18" s="5" t="s">
        <v>44</v>
      </c>
      <c r="D18" s="5" t="s">
        <v>45</v>
      </c>
      <c r="E18" s="5" t="s">
        <v>46</v>
      </c>
      <c r="F18" s="6"/>
      <c r="G18" s="19" t="s">
        <v>135</v>
      </c>
      <c r="H18" s="21"/>
      <c r="I18" s="5" t="s">
        <v>38</v>
      </c>
      <c r="J18" s="5" t="s">
        <v>131</v>
      </c>
      <c r="K18" s="5">
        <v>1</v>
      </c>
      <c r="L18" s="7">
        <f t="shared" si="0"/>
        <v>1739999.9999999998</v>
      </c>
      <c r="M18" s="7">
        <f t="shared" si="1"/>
        <v>949090.90909090906</v>
      </c>
      <c r="N18" s="7">
        <f t="shared" si="2"/>
        <v>2689090.9090909087</v>
      </c>
      <c r="P18" s="5">
        <v>1914000</v>
      </c>
      <c r="Q18" s="74">
        <f t="shared" si="3"/>
        <v>1739999.9999999998</v>
      </c>
      <c r="R18" s="5">
        <v>1044000</v>
      </c>
      <c r="S18" s="74">
        <f t="shared" si="3"/>
        <v>949090.90909090906</v>
      </c>
      <c r="T18" s="5">
        <v>382627</v>
      </c>
    </row>
    <row r="19" spans="1:20" ht="18" customHeight="1" x14ac:dyDescent="0.3">
      <c r="A19" s="5">
        <v>4</v>
      </c>
      <c r="B19" s="5" t="s">
        <v>103</v>
      </c>
      <c r="C19" s="5" t="s">
        <v>44</v>
      </c>
      <c r="D19" s="5" t="s">
        <v>45</v>
      </c>
      <c r="E19" s="5" t="s">
        <v>48</v>
      </c>
      <c r="F19" s="6"/>
      <c r="G19" s="19" t="s">
        <v>135</v>
      </c>
      <c r="H19" s="21"/>
      <c r="I19" s="5" t="s">
        <v>38</v>
      </c>
      <c r="J19" s="5" t="s">
        <v>131</v>
      </c>
      <c r="K19" s="5">
        <v>1</v>
      </c>
      <c r="L19" s="7">
        <f t="shared" si="0"/>
        <v>1397272.7272727271</v>
      </c>
      <c r="M19" s="7">
        <f t="shared" si="1"/>
        <v>505454.54545454541</v>
      </c>
      <c r="N19" s="7">
        <f t="shared" si="2"/>
        <v>1902727.2727272725</v>
      </c>
      <c r="P19" s="5">
        <v>1537000</v>
      </c>
      <c r="Q19" s="74">
        <f t="shared" si="3"/>
        <v>1397272.7272727271</v>
      </c>
      <c r="R19" s="5">
        <v>556000</v>
      </c>
      <c r="S19" s="74">
        <f t="shared" si="3"/>
        <v>505454.54545454541</v>
      </c>
      <c r="T19" s="5">
        <v>293866</v>
      </c>
    </row>
    <row r="20" spans="1:20" ht="18" customHeight="1" x14ac:dyDescent="0.3">
      <c r="A20" s="5">
        <v>5</v>
      </c>
      <c r="B20" s="5" t="s">
        <v>104</v>
      </c>
      <c r="C20" s="5" t="s">
        <v>49</v>
      </c>
      <c r="D20" s="5" t="s">
        <v>34</v>
      </c>
      <c r="E20" s="5" t="s">
        <v>50</v>
      </c>
      <c r="F20" s="6" t="s">
        <v>51</v>
      </c>
      <c r="G20" s="19" t="s">
        <v>134</v>
      </c>
      <c r="H20" s="21"/>
      <c r="I20" s="5" t="s">
        <v>38</v>
      </c>
      <c r="J20" s="5" t="s">
        <v>131</v>
      </c>
      <c r="K20" s="5">
        <v>3</v>
      </c>
      <c r="L20" s="7">
        <f t="shared" si="0"/>
        <v>2787272.7272727271</v>
      </c>
      <c r="M20" s="7">
        <f t="shared" si="1"/>
        <v>856363.63636363624</v>
      </c>
      <c r="N20" s="7">
        <f t="shared" si="2"/>
        <v>3643636.3636363633</v>
      </c>
      <c r="P20" s="5">
        <v>3066000</v>
      </c>
      <c r="Q20" s="74">
        <f t="shared" si="3"/>
        <v>2787272.7272727271</v>
      </c>
      <c r="R20" s="5">
        <v>942000</v>
      </c>
      <c r="S20" s="74">
        <f t="shared" si="3"/>
        <v>856363.63636363624</v>
      </c>
      <c r="T20" s="5">
        <v>558897</v>
      </c>
    </row>
    <row r="21" spans="1:20" ht="18" customHeight="1" x14ac:dyDescent="0.3">
      <c r="A21" s="5">
        <v>6</v>
      </c>
      <c r="B21" s="5" t="s">
        <v>105</v>
      </c>
      <c r="C21" s="5" t="s">
        <v>49</v>
      </c>
      <c r="D21" s="5" t="s">
        <v>52</v>
      </c>
      <c r="E21" s="5" t="s">
        <v>53</v>
      </c>
      <c r="F21" s="6" t="s">
        <v>54</v>
      </c>
      <c r="G21" s="19" t="s">
        <v>134</v>
      </c>
      <c r="H21" s="21"/>
      <c r="I21" s="5" t="s">
        <v>38</v>
      </c>
      <c r="J21" s="5" t="s">
        <v>131</v>
      </c>
      <c r="K21" s="5">
        <v>3</v>
      </c>
      <c r="L21" s="7">
        <f t="shared" si="0"/>
        <v>2195454.5454545454</v>
      </c>
      <c r="M21" s="7">
        <f t="shared" si="1"/>
        <v>294545.45454545453</v>
      </c>
      <c r="N21" s="7">
        <f t="shared" si="2"/>
        <v>2490000</v>
      </c>
      <c r="P21" s="5">
        <v>2415000</v>
      </c>
      <c r="Q21" s="74">
        <f t="shared" si="3"/>
        <v>2195454.5454545454</v>
      </c>
      <c r="R21" s="5">
        <v>324000</v>
      </c>
      <c r="S21" s="74">
        <f t="shared" si="3"/>
        <v>294545.45454545453</v>
      </c>
      <c r="T21" s="5">
        <v>284448</v>
      </c>
    </row>
    <row r="22" spans="1:20" ht="18" customHeight="1" x14ac:dyDescent="0.3">
      <c r="A22" s="5">
        <v>7</v>
      </c>
      <c r="B22" s="5" t="s">
        <v>106</v>
      </c>
      <c r="C22" s="5" t="s">
        <v>40</v>
      </c>
      <c r="D22" s="5" t="s">
        <v>34</v>
      </c>
      <c r="E22" s="5" t="s">
        <v>56</v>
      </c>
      <c r="F22" s="6"/>
      <c r="G22" s="19" t="s">
        <v>135</v>
      </c>
      <c r="H22" s="21"/>
      <c r="I22" s="5" t="s">
        <v>38</v>
      </c>
      <c r="J22" s="5" t="s">
        <v>131</v>
      </c>
      <c r="K22" s="5">
        <v>1</v>
      </c>
      <c r="L22" s="7">
        <f t="shared" si="0"/>
        <v>3588181.8181818179</v>
      </c>
      <c r="M22" s="7">
        <f t="shared" si="1"/>
        <v>750909.09090909082</v>
      </c>
      <c r="N22" s="7">
        <f t="shared" si="2"/>
        <v>4339090.9090909082</v>
      </c>
      <c r="P22" s="5">
        <v>3947000</v>
      </c>
      <c r="Q22" s="74">
        <f t="shared" si="3"/>
        <v>3588181.8181818179</v>
      </c>
      <c r="R22" s="5">
        <v>826000</v>
      </c>
      <c r="S22" s="74">
        <f t="shared" si="3"/>
        <v>750909.09090909082</v>
      </c>
      <c r="T22" s="5">
        <v>351386</v>
      </c>
    </row>
    <row r="23" spans="1:20" ht="18" customHeight="1" x14ac:dyDescent="0.3">
      <c r="A23" s="5">
        <v>8</v>
      </c>
      <c r="B23" s="5" t="s">
        <v>107</v>
      </c>
      <c r="C23" s="5" t="s">
        <v>49</v>
      </c>
      <c r="D23" s="5" t="s">
        <v>45</v>
      </c>
      <c r="E23" s="5" t="s">
        <v>57</v>
      </c>
      <c r="F23" s="6"/>
      <c r="G23" s="19" t="s">
        <v>136</v>
      </c>
      <c r="H23" s="21"/>
      <c r="I23" s="5" t="s">
        <v>38</v>
      </c>
      <c r="J23" s="5" t="s">
        <v>131</v>
      </c>
      <c r="K23" s="5">
        <v>4</v>
      </c>
      <c r="L23" s="7">
        <f t="shared" si="0"/>
        <v>1999999.9999999998</v>
      </c>
      <c r="M23" s="7">
        <f t="shared" si="1"/>
        <v>610909.09090909082</v>
      </c>
      <c r="N23" s="7">
        <f t="shared" si="2"/>
        <v>2610909.0909090908</v>
      </c>
      <c r="P23" s="5">
        <v>2200000</v>
      </c>
      <c r="Q23" s="74">
        <f t="shared" si="3"/>
        <v>1999999.9999999998</v>
      </c>
      <c r="R23" s="5">
        <v>672000</v>
      </c>
      <c r="S23" s="74">
        <f t="shared" si="3"/>
        <v>610909.09090909082</v>
      </c>
      <c r="T23" s="5">
        <v>720088</v>
      </c>
    </row>
    <row r="24" spans="1:20" ht="18" customHeight="1" x14ac:dyDescent="0.3">
      <c r="A24" s="5">
        <v>9</v>
      </c>
      <c r="B24" s="5" t="s">
        <v>108</v>
      </c>
      <c r="C24" s="5" t="s">
        <v>49</v>
      </c>
      <c r="D24" s="5" t="s">
        <v>52</v>
      </c>
      <c r="E24" s="5" t="s">
        <v>53</v>
      </c>
      <c r="F24" s="6"/>
      <c r="G24" s="19" t="s">
        <v>134</v>
      </c>
      <c r="H24" s="21"/>
      <c r="I24" s="5" t="s">
        <v>38</v>
      </c>
      <c r="J24" s="5" t="s">
        <v>131</v>
      </c>
      <c r="K24" s="5">
        <v>1</v>
      </c>
      <c r="L24" s="7">
        <f t="shared" si="0"/>
        <v>731818.18181818177</v>
      </c>
      <c r="M24" s="7">
        <f t="shared" si="1"/>
        <v>98181.818181818177</v>
      </c>
      <c r="N24" s="7">
        <f t="shared" si="2"/>
        <v>830000</v>
      </c>
      <c r="P24" s="5">
        <v>805000</v>
      </c>
      <c r="Q24" s="74">
        <f t="shared" si="3"/>
        <v>731818.18181818177</v>
      </c>
      <c r="R24" s="5">
        <v>108000</v>
      </c>
      <c r="S24" s="74">
        <f t="shared" si="3"/>
        <v>98181.818181818177</v>
      </c>
      <c r="T24" s="5">
        <v>94816</v>
      </c>
    </row>
    <row r="25" spans="1:20" ht="18" customHeight="1" x14ac:dyDescent="0.3">
      <c r="A25" s="5">
        <v>10</v>
      </c>
      <c r="B25" s="5" t="s">
        <v>109</v>
      </c>
      <c r="C25" s="5" t="s">
        <v>49</v>
      </c>
      <c r="D25" s="5" t="s">
        <v>52</v>
      </c>
      <c r="E25" s="5" t="s">
        <v>59</v>
      </c>
      <c r="F25" s="6"/>
      <c r="G25" s="19" t="s">
        <v>134</v>
      </c>
      <c r="H25" s="21"/>
      <c r="I25" s="5" t="s">
        <v>38</v>
      </c>
      <c r="J25" s="5" t="s">
        <v>131</v>
      </c>
      <c r="K25" s="5">
        <v>3</v>
      </c>
      <c r="L25" s="7">
        <f t="shared" si="0"/>
        <v>2236363.6363636362</v>
      </c>
      <c r="M25" s="7">
        <f t="shared" si="1"/>
        <v>357272.72727272724</v>
      </c>
      <c r="N25" s="7">
        <f t="shared" si="2"/>
        <v>2593636.3636363633</v>
      </c>
      <c r="P25" s="5">
        <v>2460000</v>
      </c>
      <c r="Q25" s="74">
        <f t="shared" si="3"/>
        <v>2236363.6363636362</v>
      </c>
      <c r="R25" s="5">
        <v>393000</v>
      </c>
      <c r="S25" s="74">
        <f t="shared" si="3"/>
        <v>357272.72727272724</v>
      </c>
      <c r="T25" s="5">
        <v>299685</v>
      </c>
    </row>
    <row r="26" spans="1:20" ht="18" customHeight="1" x14ac:dyDescent="0.3">
      <c r="A26" s="5">
        <v>11</v>
      </c>
      <c r="B26" s="5" t="s">
        <v>110</v>
      </c>
      <c r="C26" s="5" t="s">
        <v>49</v>
      </c>
      <c r="D26" s="5" t="s">
        <v>45</v>
      </c>
      <c r="E26" s="5" t="s">
        <v>60</v>
      </c>
      <c r="F26" s="6"/>
      <c r="G26" s="19" t="s">
        <v>134</v>
      </c>
      <c r="H26" s="21"/>
      <c r="I26" s="5" t="s">
        <v>38</v>
      </c>
      <c r="J26" s="5" t="s">
        <v>131</v>
      </c>
      <c r="K26" s="5">
        <v>3</v>
      </c>
      <c r="L26" s="7">
        <f t="shared" si="0"/>
        <v>1347272.7272727271</v>
      </c>
      <c r="M26" s="7">
        <f t="shared" si="1"/>
        <v>834545.45454545447</v>
      </c>
      <c r="N26" s="7">
        <f t="shared" si="2"/>
        <v>2181818.1818181816</v>
      </c>
      <c r="P26" s="5">
        <v>1482000</v>
      </c>
      <c r="Q26" s="74">
        <f t="shared" si="3"/>
        <v>1347272.7272727271</v>
      </c>
      <c r="R26" s="5">
        <v>918000</v>
      </c>
      <c r="S26" s="74">
        <f t="shared" si="3"/>
        <v>834545.45454545447</v>
      </c>
      <c r="T26" s="5">
        <v>531411</v>
      </c>
    </row>
    <row r="27" spans="1:20" ht="18" customHeight="1" x14ac:dyDescent="0.3">
      <c r="A27" s="5">
        <v>12</v>
      </c>
      <c r="B27" s="5" t="s">
        <v>111</v>
      </c>
      <c r="C27" s="5" t="s">
        <v>44</v>
      </c>
      <c r="D27" s="5" t="s">
        <v>45</v>
      </c>
      <c r="E27" s="5" t="s">
        <v>61</v>
      </c>
      <c r="F27" s="6"/>
      <c r="G27" s="19" t="s">
        <v>135</v>
      </c>
      <c r="H27" s="21"/>
      <c r="I27" s="5" t="s">
        <v>38</v>
      </c>
      <c r="J27" s="5" t="s">
        <v>131</v>
      </c>
      <c r="K27" s="5">
        <v>2</v>
      </c>
      <c r="L27" s="7">
        <f t="shared" si="0"/>
        <v>3667272.7272727271</v>
      </c>
      <c r="M27" s="7">
        <f t="shared" si="1"/>
        <v>2116363.6363636362</v>
      </c>
      <c r="N27" s="7">
        <f t="shared" si="2"/>
        <v>5783636.3636363633</v>
      </c>
      <c r="P27" s="5">
        <v>4034000</v>
      </c>
      <c r="Q27" s="74">
        <f t="shared" si="3"/>
        <v>3667272.7272727271</v>
      </c>
      <c r="R27" s="5">
        <v>2328000</v>
      </c>
      <c r="S27" s="74">
        <f t="shared" si="3"/>
        <v>2116363.6363636362</v>
      </c>
      <c r="T27" s="5">
        <v>811056</v>
      </c>
    </row>
    <row r="28" spans="1:20" ht="18" customHeight="1" x14ac:dyDescent="0.3">
      <c r="A28" s="5">
        <v>13</v>
      </c>
      <c r="B28" s="5" t="s">
        <v>112</v>
      </c>
      <c r="C28" s="5" t="s">
        <v>49</v>
      </c>
      <c r="D28" s="5" t="s">
        <v>34</v>
      </c>
      <c r="E28" s="5" t="s">
        <v>62</v>
      </c>
      <c r="F28" s="6"/>
      <c r="G28" s="19" t="s">
        <v>134</v>
      </c>
      <c r="H28" s="21"/>
      <c r="I28" s="5" t="s">
        <v>38</v>
      </c>
      <c r="J28" s="5" t="s">
        <v>131</v>
      </c>
      <c r="K28" s="5">
        <v>3</v>
      </c>
      <c r="L28" s="7">
        <f t="shared" si="0"/>
        <v>2334545.4545454546</v>
      </c>
      <c r="M28" s="7">
        <f t="shared" si="1"/>
        <v>509999.99999999994</v>
      </c>
      <c r="N28" s="7">
        <f t="shared" si="2"/>
        <v>2844545.4545454546</v>
      </c>
      <c r="P28" s="5">
        <v>2568000</v>
      </c>
      <c r="Q28" s="74">
        <f t="shared" si="3"/>
        <v>2334545.4545454546</v>
      </c>
      <c r="R28" s="5">
        <v>561000</v>
      </c>
      <c r="S28" s="74">
        <f t="shared" si="3"/>
        <v>509999.99999999994</v>
      </c>
      <c r="T28" s="5">
        <v>341853</v>
      </c>
    </row>
    <row r="29" spans="1:20" ht="18" customHeight="1" x14ac:dyDescent="0.3">
      <c r="A29" s="5">
        <v>14</v>
      </c>
      <c r="B29" s="5" t="s">
        <v>113</v>
      </c>
      <c r="C29" s="5" t="s">
        <v>40</v>
      </c>
      <c r="D29" s="5" t="s">
        <v>34</v>
      </c>
      <c r="E29" s="5" t="s">
        <v>63</v>
      </c>
      <c r="F29" s="6"/>
      <c r="G29" s="19" t="s">
        <v>134</v>
      </c>
      <c r="H29" s="21"/>
      <c r="I29" s="5" t="s">
        <v>38</v>
      </c>
      <c r="J29" s="5" t="s">
        <v>131</v>
      </c>
      <c r="K29" s="5">
        <v>2</v>
      </c>
      <c r="L29" s="7">
        <f t="shared" si="0"/>
        <v>7425454.5454545449</v>
      </c>
      <c r="M29" s="7">
        <f t="shared" si="1"/>
        <v>1952727.2727272725</v>
      </c>
      <c r="N29" s="7">
        <f t="shared" si="2"/>
        <v>9378181.8181818165</v>
      </c>
      <c r="P29" s="5">
        <v>8168000</v>
      </c>
      <c r="Q29" s="74">
        <f t="shared" si="3"/>
        <v>7425454.5454545449</v>
      </c>
      <c r="R29" s="5">
        <v>2148000</v>
      </c>
      <c r="S29" s="74">
        <f t="shared" si="3"/>
        <v>1952727.2727272725</v>
      </c>
      <c r="T29" s="5">
        <v>789580</v>
      </c>
    </row>
    <row r="30" spans="1:20" ht="18" customHeight="1" x14ac:dyDescent="0.3">
      <c r="A30" s="5">
        <v>15</v>
      </c>
      <c r="B30" s="5" t="s">
        <v>114</v>
      </c>
      <c r="C30" s="5" t="s">
        <v>33</v>
      </c>
      <c r="D30" s="5" t="s">
        <v>52</v>
      </c>
      <c r="E30" s="5" t="s">
        <v>59</v>
      </c>
      <c r="F30" s="6"/>
      <c r="G30" s="19" t="s">
        <v>134</v>
      </c>
      <c r="H30" s="21"/>
      <c r="I30" s="5" t="s">
        <v>38</v>
      </c>
      <c r="J30" s="5" t="s">
        <v>131</v>
      </c>
      <c r="K30" s="5">
        <v>1</v>
      </c>
      <c r="L30" s="7">
        <f t="shared" si="0"/>
        <v>761818.18181818177</v>
      </c>
      <c r="M30" s="7">
        <f t="shared" si="1"/>
        <v>112727.27272727272</v>
      </c>
      <c r="N30" s="7">
        <f t="shared" si="2"/>
        <v>874545.45454545447</v>
      </c>
      <c r="P30" s="5">
        <v>838000</v>
      </c>
      <c r="Q30" s="74">
        <f t="shared" si="3"/>
        <v>761818.18181818177</v>
      </c>
      <c r="R30" s="5">
        <v>124000</v>
      </c>
      <c r="S30" s="74">
        <f t="shared" si="3"/>
        <v>112727.27272727272</v>
      </c>
      <c r="T30" s="5">
        <v>98828</v>
      </c>
    </row>
    <row r="31" spans="1:20" ht="18" customHeight="1" x14ac:dyDescent="0.3">
      <c r="A31" s="5">
        <v>16</v>
      </c>
      <c r="B31" s="5" t="s">
        <v>115</v>
      </c>
      <c r="C31" s="5" t="s">
        <v>40</v>
      </c>
      <c r="D31" s="5" t="s">
        <v>34</v>
      </c>
      <c r="E31" s="5" t="s">
        <v>64</v>
      </c>
      <c r="F31" s="6" t="s">
        <v>65</v>
      </c>
      <c r="G31" s="19" t="s">
        <v>135</v>
      </c>
      <c r="H31" s="21"/>
      <c r="I31" s="5" t="s">
        <v>38</v>
      </c>
      <c r="J31" s="5" t="s">
        <v>131</v>
      </c>
      <c r="K31" s="5">
        <v>3</v>
      </c>
      <c r="L31" s="7">
        <f t="shared" si="0"/>
        <v>7524545.4545454541</v>
      </c>
      <c r="M31" s="7">
        <f t="shared" si="1"/>
        <v>673636.36363636353</v>
      </c>
      <c r="N31" s="7">
        <f t="shared" si="2"/>
        <v>8198181.8181818174</v>
      </c>
      <c r="P31" s="5">
        <v>8277000</v>
      </c>
      <c r="Q31" s="74">
        <f t="shared" si="3"/>
        <v>7524545.4545454541</v>
      </c>
      <c r="R31" s="5">
        <v>741000</v>
      </c>
      <c r="S31" s="74">
        <f t="shared" si="3"/>
        <v>673636.36363636353</v>
      </c>
      <c r="T31" s="5">
        <v>498870</v>
      </c>
    </row>
    <row r="32" spans="1:20" ht="18" customHeight="1" x14ac:dyDescent="0.3">
      <c r="A32" s="5">
        <v>17</v>
      </c>
      <c r="B32" s="5" t="s">
        <v>116</v>
      </c>
      <c r="C32" s="5" t="s">
        <v>128</v>
      </c>
      <c r="D32" s="5" t="s">
        <v>52</v>
      </c>
      <c r="E32" s="5" t="s">
        <v>67</v>
      </c>
      <c r="F32" s="6"/>
      <c r="G32" s="19" t="s">
        <v>134</v>
      </c>
      <c r="H32" s="21"/>
      <c r="I32" s="5" t="s">
        <v>38</v>
      </c>
      <c r="J32" s="5" t="s">
        <v>131</v>
      </c>
      <c r="K32" s="5">
        <v>1</v>
      </c>
      <c r="L32" s="7">
        <f t="shared" si="0"/>
        <v>1882727.2727272725</v>
      </c>
      <c r="M32" s="7">
        <f t="shared" si="1"/>
        <v>333636.36363636359</v>
      </c>
      <c r="N32" s="7">
        <f t="shared" si="2"/>
        <v>2216363.6363636362</v>
      </c>
      <c r="P32" s="5">
        <v>2071000</v>
      </c>
      <c r="Q32" s="74">
        <f t="shared" si="3"/>
        <v>1882727.2727272725</v>
      </c>
      <c r="R32" s="5">
        <v>367000</v>
      </c>
      <c r="S32" s="74">
        <f t="shared" si="3"/>
        <v>333636.36363636359</v>
      </c>
      <c r="T32" s="5">
        <v>273877</v>
      </c>
    </row>
    <row r="33" spans="1:20" ht="18" customHeight="1" x14ac:dyDescent="0.3">
      <c r="A33" s="5">
        <v>18</v>
      </c>
      <c r="B33" s="5" t="s">
        <v>117</v>
      </c>
      <c r="C33" s="5" t="s">
        <v>128</v>
      </c>
      <c r="D33" s="5" t="s">
        <v>52</v>
      </c>
      <c r="E33" s="5" t="s">
        <v>68</v>
      </c>
      <c r="F33" s="6" t="s">
        <v>69</v>
      </c>
      <c r="G33" s="19" t="s">
        <v>134</v>
      </c>
      <c r="H33" s="21"/>
      <c r="I33" s="5" t="s">
        <v>38</v>
      </c>
      <c r="J33" s="5" t="s">
        <v>131</v>
      </c>
      <c r="K33" s="5">
        <v>1</v>
      </c>
      <c r="L33" s="7">
        <f t="shared" si="0"/>
        <v>1971818.1818181816</v>
      </c>
      <c r="M33" s="7">
        <f t="shared" si="1"/>
        <v>450909.09090909088</v>
      </c>
      <c r="N33" s="7">
        <f t="shared" si="2"/>
        <v>2422727.2727272725</v>
      </c>
      <c r="P33" s="5">
        <v>2169000</v>
      </c>
      <c r="Q33" s="74">
        <f t="shared" si="3"/>
        <v>1971818.1818181816</v>
      </c>
      <c r="R33" s="5">
        <v>496000</v>
      </c>
      <c r="S33" s="74">
        <f t="shared" si="3"/>
        <v>450909.09090909088</v>
      </c>
      <c r="T33" s="5">
        <v>297599</v>
      </c>
    </row>
    <row r="34" spans="1:20" ht="18" customHeight="1" x14ac:dyDescent="0.3">
      <c r="A34" s="5">
        <v>19</v>
      </c>
      <c r="B34" s="5" t="s">
        <v>118</v>
      </c>
      <c r="C34" s="5" t="s">
        <v>128</v>
      </c>
      <c r="D34" s="5" t="s">
        <v>52</v>
      </c>
      <c r="E34" s="5" t="s">
        <v>70</v>
      </c>
      <c r="F34" s="6"/>
      <c r="G34" s="19" t="s">
        <v>134</v>
      </c>
      <c r="H34" s="21"/>
      <c r="I34" s="5" t="s">
        <v>38</v>
      </c>
      <c r="J34" s="5" t="s">
        <v>131</v>
      </c>
      <c r="K34" s="5">
        <v>3</v>
      </c>
      <c r="L34" s="7">
        <f t="shared" si="0"/>
        <v>5252727.2727272725</v>
      </c>
      <c r="M34" s="7">
        <f t="shared" si="1"/>
        <v>752727.27272727271</v>
      </c>
      <c r="N34" s="7">
        <f t="shared" si="2"/>
        <v>6005454.5454545449</v>
      </c>
      <c r="P34" s="5">
        <v>5778000</v>
      </c>
      <c r="Q34" s="74">
        <f t="shared" si="3"/>
        <v>5252727.2727272725</v>
      </c>
      <c r="R34" s="5">
        <v>828000</v>
      </c>
      <c r="S34" s="74">
        <f t="shared" si="3"/>
        <v>752727.27272727271</v>
      </c>
      <c r="T34" s="5">
        <v>550296</v>
      </c>
    </row>
    <row r="35" spans="1:20" ht="18" customHeight="1" x14ac:dyDescent="0.3">
      <c r="A35" s="5">
        <v>19</v>
      </c>
      <c r="B35" s="5" t="s">
        <v>119</v>
      </c>
      <c r="C35" s="5" t="s">
        <v>129</v>
      </c>
      <c r="D35" s="5"/>
      <c r="E35" s="5" t="s">
        <v>130</v>
      </c>
      <c r="F35" s="6"/>
      <c r="G35" s="19"/>
      <c r="H35" s="21"/>
      <c r="I35" s="5"/>
      <c r="J35" s="5"/>
      <c r="K35" s="5"/>
      <c r="L35" s="7">
        <f t="shared" si="0"/>
        <v>0</v>
      </c>
      <c r="M35" s="7">
        <f t="shared" si="1"/>
        <v>0</v>
      </c>
      <c r="N35" s="7">
        <f t="shared" si="2"/>
        <v>0</v>
      </c>
      <c r="P35" s="5"/>
      <c r="Q35" s="74">
        <f t="shared" si="3"/>
        <v>0</v>
      </c>
      <c r="R35" s="5"/>
      <c r="S35" s="74">
        <f t="shared" si="3"/>
        <v>0</v>
      </c>
      <c r="T35" s="5"/>
    </row>
    <row r="36" spans="1:20" ht="18" customHeight="1" x14ac:dyDescent="0.3">
      <c r="A36" s="5">
        <v>20</v>
      </c>
      <c r="B36" s="5" t="s">
        <v>120</v>
      </c>
      <c r="C36" s="5" t="s">
        <v>72</v>
      </c>
      <c r="D36" s="5" t="s">
        <v>73</v>
      </c>
      <c r="E36" s="5" t="s">
        <v>74</v>
      </c>
      <c r="F36" s="6" t="s">
        <v>75</v>
      </c>
      <c r="G36" s="19" t="s">
        <v>137</v>
      </c>
      <c r="H36" s="21"/>
      <c r="I36" s="5" t="s">
        <v>38</v>
      </c>
      <c r="J36" s="5" t="s">
        <v>131</v>
      </c>
      <c r="K36" s="5">
        <v>1</v>
      </c>
      <c r="L36" s="7">
        <f t="shared" si="0"/>
        <v>1158181.8181818181</v>
      </c>
      <c r="M36" s="7">
        <f t="shared" si="1"/>
        <v>281818.18181818182</v>
      </c>
      <c r="N36" s="7">
        <f t="shared" si="2"/>
        <v>1440000</v>
      </c>
      <c r="P36" s="5">
        <v>1274000</v>
      </c>
      <c r="Q36" s="74">
        <f t="shared" si="3"/>
        <v>1158181.8181818181</v>
      </c>
      <c r="R36" s="5">
        <v>310000</v>
      </c>
      <c r="S36" s="74">
        <f t="shared" si="3"/>
        <v>281818.18181818182</v>
      </c>
      <c r="T36" s="5">
        <v>258813</v>
      </c>
    </row>
    <row r="37" spans="1:20" ht="18" customHeight="1" x14ac:dyDescent="0.3">
      <c r="A37" s="5">
        <v>21</v>
      </c>
      <c r="B37" s="5" t="s">
        <v>121</v>
      </c>
      <c r="C37" s="5" t="s">
        <v>72</v>
      </c>
      <c r="D37" s="5" t="s">
        <v>73</v>
      </c>
      <c r="E37" s="5" t="s">
        <v>78</v>
      </c>
      <c r="F37" s="6" t="s">
        <v>75</v>
      </c>
      <c r="G37" s="19" t="s">
        <v>137</v>
      </c>
      <c r="H37" s="21"/>
      <c r="I37" s="5" t="s">
        <v>38</v>
      </c>
      <c r="J37" s="5" t="s">
        <v>131</v>
      </c>
      <c r="K37" s="5">
        <v>1</v>
      </c>
      <c r="L37" s="7">
        <f t="shared" si="0"/>
        <v>1134545.4545454544</v>
      </c>
      <c r="M37" s="7">
        <f t="shared" si="1"/>
        <v>244545.45454545453</v>
      </c>
      <c r="N37" s="7">
        <f t="shared" si="2"/>
        <v>1379090.9090909089</v>
      </c>
      <c r="P37" s="5">
        <v>1248000</v>
      </c>
      <c r="Q37" s="74">
        <f t="shared" si="3"/>
        <v>1134545.4545454544</v>
      </c>
      <c r="R37" s="5">
        <v>269000</v>
      </c>
      <c r="S37" s="74">
        <f t="shared" si="3"/>
        <v>244545.45454545453</v>
      </c>
      <c r="T37" s="5">
        <v>250131</v>
      </c>
    </row>
    <row r="38" spans="1:20" ht="18" customHeight="1" x14ac:dyDescent="0.3">
      <c r="A38" s="5">
        <v>22</v>
      </c>
      <c r="B38" s="5" t="s">
        <v>122</v>
      </c>
      <c r="C38" s="5" t="s">
        <v>72</v>
      </c>
      <c r="D38" s="5" t="s">
        <v>73</v>
      </c>
      <c r="E38" s="5" t="s">
        <v>79</v>
      </c>
      <c r="F38" s="6" t="s">
        <v>75</v>
      </c>
      <c r="G38" s="19" t="s">
        <v>137</v>
      </c>
      <c r="H38" s="21"/>
      <c r="I38" s="5" t="s">
        <v>38</v>
      </c>
      <c r="J38" s="5" t="s">
        <v>131</v>
      </c>
      <c r="K38" s="5">
        <v>1</v>
      </c>
      <c r="L38" s="7">
        <f t="shared" si="0"/>
        <v>1217272.7272727271</v>
      </c>
      <c r="M38" s="7">
        <f t="shared" si="1"/>
        <v>321818.18181818177</v>
      </c>
      <c r="N38" s="7">
        <f t="shared" si="2"/>
        <v>1539090.9090909087</v>
      </c>
      <c r="P38" s="5">
        <v>1339000</v>
      </c>
      <c r="Q38" s="74">
        <f t="shared" si="3"/>
        <v>1217272.7272727271</v>
      </c>
      <c r="R38" s="5">
        <v>354000</v>
      </c>
      <c r="S38" s="74">
        <f t="shared" si="3"/>
        <v>321818.18181818177</v>
      </c>
      <c r="T38" s="5">
        <v>268126</v>
      </c>
    </row>
    <row r="39" spans="1:20" ht="18" customHeight="1" x14ac:dyDescent="0.3">
      <c r="A39" s="5">
        <v>23</v>
      </c>
      <c r="B39" s="5" t="s">
        <v>123</v>
      </c>
      <c r="C39" s="5" t="s">
        <v>72</v>
      </c>
      <c r="D39" s="5" t="s">
        <v>73</v>
      </c>
      <c r="E39" s="5" t="s">
        <v>80</v>
      </c>
      <c r="F39" s="6" t="s">
        <v>75</v>
      </c>
      <c r="G39" s="19" t="s">
        <v>137</v>
      </c>
      <c r="H39" s="21"/>
      <c r="I39" s="5" t="s">
        <v>38</v>
      </c>
      <c r="J39" s="5" t="s">
        <v>131</v>
      </c>
      <c r="K39" s="5">
        <v>2</v>
      </c>
      <c r="L39" s="7">
        <f t="shared" si="0"/>
        <v>1974545.4545454544</v>
      </c>
      <c r="M39" s="7">
        <f t="shared" si="1"/>
        <v>305454.54545454541</v>
      </c>
      <c r="N39" s="7">
        <f t="shared" si="2"/>
        <v>2280000</v>
      </c>
      <c r="P39" s="5">
        <v>2172000</v>
      </c>
      <c r="Q39" s="74">
        <f t="shared" si="3"/>
        <v>1974545.4545454544</v>
      </c>
      <c r="R39" s="5">
        <v>336000</v>
      </c>
      <c r="S39" s="74">
        <f t="shared" si="3"/>
        <v>305454.54545454541</v>
      </c>
      <c r="T39" s="5">
        <v>252312</v>
      </c>
    </row>
    <row r="40" spans="1:20" ht="18" customHeight="1" x14ac:dyDescent="0.3">
      <c r="A40" s="5">
        <v>24</v>
      </c>
      <c r="B40" s="5" t="s">
        <v>124</v>
      </c>
      <c r="C40" s="5" t="s">
        <v>72</v>
      </c>
      <c r="D40" s="5" t="s">
        <v>73</v>
      </c>
      <c r="E40" s="5" t="s">
        <v>81</v>
      </c>
      <c r="F40" s="6" t="s">
        <v>75</v>
      </c>
      <c r="G40" s="19" t="s">
        <v>137</v>
      </c>
      <c r="H40" s="21"/>
      <c r="I40" s="5" t="s">
        <v>38</v>
      </c>
      <c r="J40" s="5" t="s">
        <v>131</v>
      </c>
      <c r="K40" s="5">
        <v>3</v>
      </c>
      <c r="L40" s="7">
        <f t="shared" si="0"/>
        <v>2841818.1818181816</v>
      </c>
      <c r="M40" s="7">
        <f t="shared" si="1"/>
        <v>398181.81818181818</v>
      </c>
      <c r="N40" s="7">
        <f t="shared" si="2"/>
        <v>3240000</v>
      </c>
      <c r="P40" s="5">
        <v>3126000</v>
      </c>
      <c r="Q40" s="74">
        <f t="shared" si="3"/>
        <v>2841818.1818181816</v>
      </c>
      <c r="R40" s="5">
        <v>438000</v>
      </c>
      <c r="S40" s="74">
        <f t="shared" si="3"/>
        <v>398181.81818181818</v>
      </c>
      <c r="T40" s="5">
        <v>359418</v>
      </c>
    </row>
    <row r="41" spans="1:20" ht="18" customHeight="1" x14ac:dyDescent="0.3">
      <c r="A41" s="5">
        <v>25</v>
      </c>
      <c r="B41" s="5" t="s">
        <v>125</v>
      </c>
      <c r="C41" s="5" t="s">
        <v>72</v>
      </c>
      <c r="D41" s="5" t="s">
        <v>73</v>
      </c>
      <c r="E41" s="5" t="s">
        <v>63</v>
      </c>
      <c r="F41" s="6" t="s">
        <v>75</v>
      </c>
      <c r="G41" s="19" t="s">
        <v>137</v>
      </c>
      <c r="H41" s="21"/>
      <c r="I41" s="5" t="s">
        <v>38</v>
      </c>
      <c r="J41" s="5" t="s">
        <v>131</v>
      </c>
      <c r="K41" s="5">
        <v>1</v>
      </c>
      <c r="L41" s="7">
        <f t="shared" si="0"/>
        <v>1385454.5454545454</v>
      </c>
      <c r="M41" s="7">
        <f t="shared" si="1"/>
        <v>513636.36363636359</v>
      </c>
      <c r="N41" s="7">
        <f t="shared" si="2"/>
        <v>1899090.9090909089</v>
      </c>
      <c r="P41" s="5">
        <v>1524000</v>
      </c>
      <c r="Q41" s="74">
        <f t="shared" si="3"/>
        <v>1385454.5454545454</v>
      </c>
      <c r="R41" s="5">
        <v>565000</v>
      </c>
      <c r="S41" s="74">
        <f t="shared" si="3"/>
        <v>513636.36363636359</v>
      </c>
      <c r="T41" s="5">
        <v>311692</v>
      </c>
    </row>
    <row r="42" spans="1:20" ht="18" customHeight="1" x14ac:dyDescent="0.3">
      <c r="A42" s="5">
        <v>26</v>
      </c>
      <c r="B42" s="5" t="s">
        <v>126</v>
      </c>
      <c r="C42" s="5" t="s">
        <v>72</v>
      </c>
      <c r="D42" s="5" t="s">
        <v>82</v>
      </c>
      <c r="E42" s="5" t="s">
        <v>83</v>
      </c>
      <c r="F42" s="6" t="s">
        <v>84</v>
      </c>
      <c r="G42" s="19" t="s">
        <v>137</v>
      </c>
      <c r="H42" s="21"/>
      <c r="I42" s="5" t="s">
        <v>38</v>
      </c>
      <c r="J42" s="5" t="s">
        <v>131</v>
      </c>
      <c r="K42" s="5">
        <v>1</v>
      </c>
      <c r="L42" s="7">
        <f t="shared" si="0"/>
        <v>1225454.5454545454</v>
      </c>
      <c r="M42" s="7">
        <f t="shared" si="1"/>
        <v>377272.72727272724</v>
      </c>
      <c r="N42" s="7">
        <f t="shared" si="2"/>
        <v>1602727.2727272727</v>
      </c>
      <c r="P42" s="5">
        <v>1348000</v>
      </c>
      <c r="Q42" s="74">
        <f t="shared" si="3"/>
        <v>1225454.5454545454</v>
      </c>
      <c r="R42" s="5">
        <v>415000</v>
      </c>
      <c r="S42" s="74">
        <f t="shared" si="3"/>
        <v>377272.72727272724</v>
      </c>
      <c r="T42" s="5">
        <v>281396</v>
      </c>
    </row>
    <row r="43" spans="1:20" ht="18" customHeight="1" x14ac:dyDescent="0.3">
      <c r="A43" s="5">
        <v>27</v>
      </c>
      <c r="B43" s="5" t="s">
        <v>127</v>
      </c>
      <c r="C43" s="5" t="s">
        <v>72</v>
      </c>
      <c r="D43" s="5" t="s">
        <v>73</v>
      </c>
      <c r="E43" s="5" t="s">
        <v>85</v>
      </c>
      <c r="F43" s="6" t="s">
        <v>75</v>
      </c>
      <c r="G43" s="19" t="s">
        <v>137</v>
      </c>
      <c r="H43" s="21"/>
      <c r="I43" s="5" t="s">
        <v>38</v>
      </c>
      <c r="J43" s="5" t="s">
        <v>131</v>
      </c>
      <c r="K43" s="5">
        <v>1</v>
      </c>
      <c r="L43" s="7">
        <f t="shared" si="0"/>
        <v>1293636.3636363635</v>
      </c>
      <c r="M43" s="7">
        <f t="shared" si="1"/>
        <v>418181.81818181818</v>
      </c>
      <c r="N43" s="7">
        <f t="shared" si="2"/>
        <v>1711818.1818181816</v>
      </c>
      <c r="P43" s="5">
        <v>1423000</v>
      </c>
      <c r="Q43" s="74">
        <f t="shared" si="3"/>
        <v>1293636.3636363635</v>
      </c>
      <c r="R43" s="5">
        <v>460000</v>
      </c>
      <c r="S43" s="74">
        <f t="shared" si="3"/>
        <v>418181.81818181818</v>
      </c>
      <c r="T43" s="5">
        <v>290647</v>
      </c>
    </row>
    <row r="44" spans="1:20" ht="18" customHeight="1" x14ac:dyDescent="0.3">
      <c r="A44" s="19"/>
      <c r="B44" s="20"/>
      <c r="C44" s="20"/>
      <c r="D44" s="20"/>
      <c r="E44" s="20"/>
      <c r="F44" s="20"/>
      <c r="G44" s="20"/>
      <c r="H44" s="20"/>
      <c r="I44" s="20"/>
      <c r="J44" s="21"/>
      <c r="K44" s="9"/>
      <c r="L44" s="19" t="s">
        <v>86</v>
      </c>
      <c r="M44" s="20"/>
      <c r="N44" s="10">
        <f>SUM(N16:N43)</f>
        <v>84519999.99999997</v>
      </c>
    </row>
    <row r="45" spans="1:20" ht="18" customHeight="1" x14ac:dyDescent="0.3">
      <c r="A45" s="19"/>
      <c r="B45" s="20"/>
      <c r="C45" s="20"/>
      <c r="D45" s="20"/>
      <c r="E45" s="20"/>
      <c r="F45" s="20"/>
      <c r="G45" s="20"/>
      <c r="H45" s="20"/>
      <c r="I45" s="20"/>
      <c r="J45" s="21"/>
      <c r="K45" s="9"/>
      <c r="L45" s="19" t="s">
        <v>87</v>
      </c>
      <c r="M45" s="20"/>
      <c r="N45" s="10">
        <f>R45</f>
        <v>12579764.4</v>
      </c>
      <c r="P45" s="10">
        <v>10483137</v>
      </c>
      <c r="R45" s="17">
        <f>P45*1.2</f>
        <v>12579764.4</v>
      </c>
    </row>
    <row r="46" spans="1:20" ht="18" customHeight="1" x14ac:dyDescent="0.3">
      <c r="A46" s="19" t="s">
        <v>143</v>
      </c>
      <c r="B46" s="20"/>
      <c r="C46" s="20"/>
      <c r="D46" s="20"/>
      <c r="E46" s="20"/>
      <c r="F46" s="20"/>
      <c r="G46" s="20"/>
      <c r="H46" s="20"/>
      <c r="I46" s="20"/>
      <c r="J46" s="21"/>
      <c r="K46" s="9"/>
      <c r="L46" s="19" t="s">
        <v>138</v>
      </c>
      <c r="M46" s="20"/>
      <c r="N46" s="10" t="s">
        <v>141</v>
      </c>
    </row>
    <row r="47" spans="1:20" ht="18" customHeight="1" x14ac:dyDescent="0.3">
      <c r="A47" s="19" t="s">
        <v>143</v>
      </c>
      <c r="B47" s="20"/>
      <c r="C47" s="20"/>
      <c r="D47" s="20"/>
      <c r="E47" s="20"/>
      <c r="F47" s="20"/>
      <c r="G47" s="20"/>
      <c r="H47" s="20"/>
      <c r="I47" s="20"/>
      <c r="J47" s="21"/>
      <c r="K47" s="9"/>
      <c r="L47" s="19" t="s">
        <v>139</v>
      </c>
      <c r="M47" s="20"/>
      <c r="N47" s="10" t="s">
        <v>141</v>
      </c>
    </row>
    <row r="48" spans="1:20" ht="18" customHeight="1" x14ac:dyDescent="0.3">
      <c r="A48" s="19" t="s">
        <v>143</v>
      </c>
      <c r="B48" s="20"/>
      <c r="C48" s="20"/>
      <c r="D48" s="20"/>
      <c r="E48" s="20"/>
      <c r="F48" s="20"/>
      <c r="G48" s="20"/>
      <c r="H48" s="20"/>
      <c r="I48" s="20"/>
      <c r="J48" s="21"/>
      <c r="K48" s="9"/>
      <c r="L48" s="19" t="s">
        <v>140</v>
      </c>
      <c r="M48" s="20"/>
      <c r="N48" s="10" t="s">
        <v>141</v>
      </c>
    </row>
    <row r="49" spans="1:14" ht="18" customHeight="1" x14ac:dyDescent="0.3">
      <c r="A49" s="19"/>
      <c r="B49" s="20"/>
      <c r="C49" s="20"/>
      <c r="D49" s="20"/>
      <c r="E49" s="20"/>
      <c r="F49" s="20"/>
      <c r="G49" s="20"/>
      <c r="H49" s="20"/>
      <c r="I49" s="20"/>
      <c r="J49" s="21"/>
      <c r="K49" s="9"/>
      <c r="L49" s="19" t="s">
        <v>142</v>
      </c>
      <c r="M49" s="20"/>
      <c r="N49" s="10">
        <v>-99764</v>
      </c>
    </row>
    <row r="50" spans="1:14" ht="18" customHeight="1" x14ac:dyDescent="0.3">
      <c r="A50" s="30" t="s">
        <v>91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18">
        <f>SUM(N44:N49)</f>
        <v>97000000.399999976</v>
      </c>
    </row>
    <row r="51" spans="1:14" ht="12.95" customHeight="1" x14ac:dyDescent="0.3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18" customHeight="1" thickBot="1" x14ac:dyDescent="0.35">
      <c r="A52" s="32" t="s">
        <v>93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 ht="12.95" customHeight="1" x14ac:dyDescent="0.3">
      <c r="A53" s="22" t="s">
        <v>145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4"/>
    </row>
    <row r="54" spans="1:14" ht="12.95" customHeight="1" x14ac:dyDescent="0.3">
      <c r="A54" s="25" t="s">
        <v>95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7"/>
    </row>
    <row r="55" spans="1:14" ht="12.95" customHeight="1" x14ac:dyDescent="0.3">
      <c r="A55" s="25" t="s">
        <v>96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7"/>
    </row>
    <row r="56" spans="1:14" ht="12.95" customHeight="1" x14ac:dyDescent="0.3">
      <c r="A56" s="25" t="s">
        <v>97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7"/>
    </row>
    <row r="57" spans="1:14" ht="12.95" customHeight="1" thickBot="1" x14ac:dyDescent="0.35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6"/>
    </row>
    <row r="58" spans="1:14" s="13" customFormat="1" ht="10.5" x14ac:dyDescent="0.3">
      <c r="A58" s="28" t="s">
        <v>98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</row>
    <row r="59" spans="1:14" s="13" customFormat="1" ht="10.5" x14ac:dyDescent="0.3">
      <c r="A59" s="29" t="s">
        <v>99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</sheetData>
  <mergeCells count="82">
    <mergeCell ref="K7:N7"/>
    <mergeCell ref="I8:J8"/>
    <mergeCell ref="K8:N8"/>
    <mergeCell ref="B2:M2"/>
    <mergeCell ref="A3:N3"/>
    <mergeCell ref="A4:N4"/>
    <mergeCell ref="A5:C5"/>
    <mergeCell ref="D5:F5"/>
    <mergeCell ref="G5:H5"/>
    <mergeCell ref="I5:J6"/>
    <mergeCell ref="K5:N6"/>
    <mergeCell ref="A6:C6"/>
    <mergeCell ref="D6:F6"/>
    <mergeCell ref="G6:H6"/>
    <mergeCell ref="A7:C8"/>
    <mergeCell ref="D7:F8"/>
    <mergeCell ref="G7:H8"/>
    <mergeCell ref="I7:J7"/>
    <mergeCell ref="K11:N11"/>
    <mergeCell ref="I12:J12"/>
    <mergeCell ref="K12:N12"/>
    <mergeCell ref="A9:C10"/>
    <mergeCell ref="D9:F10"/>
    <mergeCell ref="G9:H10"/>
    <mergeCell ref="I9:J10"/>
    <mergeCell ref="K9:N9"/>
    <mergeCell ref="K10:N10"/>
    <mergeCell ref="G18:H18"/>
    <mergeCell ref="A11:C12"/>
    <mergeCell ref="D11:F12"/>
    <mergeCell ref="G11:H12"/>
    <mergeCell ref="I11:J11"/>
    <mergeCell ref="A13:N13"/>
    <mergeCell ref="A14:N14"/>
    <mergeCell ref="G15:H15"/>
    <mergeCell ref="G16:H16"/>
    <mergeCell ref="G17:H17"/>
    <mergeCell ref="G30:H30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43:H43"/>
    <mergeCell ref="G31:H31"/>
    <mergeCell ref="G32:H32"/>
    <mergeCell ref="G33:H33"/>
    <mergeCell ref="G34:H34"/>
    <mergeCell ref="G36:H36"/>
    <mergeCell ref="G37:H37"/>
    <mergeCell ref="G35:H35"/>
    <mergeCell ref="G38:H38"/>
    <mergeCell ref="G39:H39"/>
    <mergeCell ref="G40:H40"/>
    <mergeCell ref="G41:H41"/>
    <mergeCell ref="G42:H42"/>
    <mergeCell ref="L44:M44"/>
    <mergeCell ref="L45:M45"/>
    <mergeCell ref="L46:M46"/>
    <mergeCell ref="A44:J44"/>
    <mergeCell ref="A45:J45"/>
    <mergeCell ref="A46:J46"/>
    <mergeCell ref="A58:M58"/>
    <mergeCell ref="A59:M59"/>
    <mergeCell ref="L47:M47"/>
    <mergeCell ref="L49:M49"/>
    <mergeCell ref="A50:M50"/>
    <mergeCell ref="A52:N52"/>
    <mergeCell ref="L48:M48"/>
    <mergeCell ref="A47:J47"/>
    <mergeCell ref="A48:J48"/>
    <mergeCell ref="A49:J49"/>
    <mergeCell ref="A53:N53"/>
    <mergeCell ref="A54:N54"/>
    <mergeCell ref="A55:N55"/>
    <mergeCell ref="A56:N56"/>
  </mergeCells>
  <phoneticPr fontId="23" type="noConversion"/>
  <pageMargins left="0.75" right="0.75" top="1" bottom="1" header="0.5" footer="0.5"/>
  <pageSetup paperSize="9" scale="60" orientation="landscape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647700</xdr:colOff>
                <xdr:row>1</xdr:row>
                <xdr:rowOff>19050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7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51" r:id="rId8" name="Control 3">
          <controlPr defaultSize="0" r:id="rId7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1" r:id="rId8" name="Control 3"/>
      </mc:Fallback>
    </mc:AlternateContent>
    <mc:AlternateContent xmlns:mc="http://schemas.openxmlformats.org/markup-compatibility/2006">
      <mc:Choice Requires="x14">
        <control shapeId="2052" r:id="rId9" name="Control 4">
          <controlPr defaultSize="0" r:id="rId7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2" r:id="rId9" name="Control 4"/>
      </mc:Fallback>
    </mc:AlternateContent>
    <mc:AlternateContent xmlns:mc="http://schemas.openxmlformats.org/markup-compatibility/2006">
      <mc:Choice Requires="x14">
        <control shapeId="2053" r:id="rId10" name="Control 5">
          <controlPr defaultSize="0" r:id="rId11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3" r:id="rId10" name="Control 5"/>
      </mc:Fallback>
    </mc:AlternateContent>
    <mc:AlternateContent xmlns:mc="http://schemas.openxmlformats.org/markup-compatibility/2006">
      <mc:Choice Requires="x14">
        <control shapeId="2054" r:id="rId12" name="Control 6">
          <controlPr defaultSize="0" r:id="rId13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4" r:id="rId12" name="Control 6"/>
      </mc:Fallback>
    </mc:AlternateContent>
    <mc:AlternateContent xmlns:mc="http://schemas.openxmlformats.org/markup-compatibility/2006">
      <mc:Choice Requires="x14">
        <control shapeId="2055" r:id="rId14" name="Control 7">
          <controlPr defaultSize="0" r:id="rId15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5" r:id="rId14" name="Control 7"/>
      </mc:Fallback>
    </mc:AlternateContent>
    <mc:AlternateContent xmlns:mc="http://schemas.openxmlformats.org/markup-compatibility/2006">
      <mc:Choice Requires="x14">
        <control shapeId="2056" r:id="rId16" name="Control 8">
          <controlPr defaultSize="0" r:id="rId7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152400</xdr:colOff>
                <xdr:row>1</xdr:row>
                <xdr:rowOff>19050</xdr:rowOff>
              </to>
            </anchor>
          </controlPr>
        </control>
      </mc:Choice>
      <mc:Fallback>
        <control shapeId="2056" r:id="rId16" name="Control 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O57"/>
  <sheetViews>
    <sheetView showGridLines="0" workbookViewId="0">
      <selection activeCell="G9" sqref="G9:H10"/>
    </sheetView>
  </sheetViews>
  <sheetFormatPr defaultRowHeight="16.5" x14ac:dyDescent="0.3"/>
  <cols>
    <col min="1" max="1" width="3.5" style="1" bestFit="1" customWidth="1"/>
    <col min="2" max="2" width="4.5" style="1" bestFit="1" customWidth="1"/>
    <col min="3" max="3" width="36" style="1" bestFit="1" customWidth="1"/>
    <col min="4" max="4" width="12.625" style="1" bestFit="1" customWidth="1"/>
    <col min="5" max="5" width="9.625" style="1" bestFit="1" customWidth="1"/>
    <col min="6" max="6" width="11.25" style="1" bestFit="1" customWidth="1"/>
    <col min="7" max="8" width="27" style="1" customWidth="1"/>
    <col min="9" max="9" width="6" style="1" bestFit="1" customWidth="1"/>
    <col min="10" max="10" width="36" style="1" bestFit="1" customWidth="1"/>
    <col min="11" max="11" width="4.5" style="1" bestFit="1" customWidth="1"/>
    <col min="12" max="12" width="11.25" style="1" bestFit="1" customWidth="1"/>
    <col min="13" max="13" width="9.625" style="1" bestFit="1" customWidth="1"/>
    <col min="14" max="14" width="12.875" style="1" bestFit="1" customWidth="1"/>
    <col min="15" max="15" width="12.375" style="1" bestFit="1" customWidth="1"/>
    <col min="16" max="16384" width="9" style="1"/>
  </cols>
  <sheetData>
    <row r="1" spans="1:15" x14ac:dyDescent="0.3">
      <c r="A1" s="2"/>
    </row>
    <row r="2" spans="1:15" ht="24.95" customHeight="1" x14ac:dyDescent="0.3">
      <c r="A2" s="2"/>
      <c r="B2" s="65" t="s">
        <v>0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2"/>
    </row>
    <row r="3" spans="1:15" ht="15.6" customHeight="1" x14ac:dyDescent="0.3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x14ac:dyDescent="0.3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spans="1:15" ht="12.95" customHeight="1" x14ac:dyDescent="0.3">
      <c r="A5" s="50" t="s">
        <v>1</v>
      </c>
      <c r="B5" s="52"/>
      <c r="C5" s="51"/>
      <c r="D5" s="50" t="s">
        <v>2</v>
      </c>
      <c r="E5" s="52"/>
      <c r="F5" s="53"/>
      <c r="G5" s="63"/>
      <c r="H5" s="64"/>
      <c r="I5" s="36" t="s">
        <v>3</v>
      </c>
      <c r="J5" s="38"/>
      <c r="K5" s="36"/>
      <c r="L5" s="37"/>
      <c r="M5" s="37"/>
      <c r="N5" s="37"/>
      <c r="O5" s="61"/>
    </row>
    <row r="6" spans="1:15" ht="12.95" customHeight="1" x14ac:dyDescent="0.3">
      <c r="A6" s="50" t="s">
        <v>4</v>
      </c>
      <c r="B6" s="52"/>
      <c r="C6" s="51"/>
      <c r="D6" s="50" t="s">
        <v>5</v>
      </c>
      <c r="E6" s="52"/>
      <c r="F6" s="53"/>
      <c r="G6" s="63"/>
      <c r="H6" s="64"/>
      <c r="I6" s="58"/>
      <c r="J6" s="60"/>
      <c r="K6" s="58"/>
      <c r="L6" s="59"/>
      <c r="M6" s="59"/>
      <c r="N6" s="59"/>
      <c r="O6" s="62"/>
    </row>
    <row r="7" spans="1:15" ht="12.95" customHeight="1" x14ac:dyDescent="0.3">
      <c r="A7" s="36" t="s">
        <v>6</v>
      </c>
      <c r="B7" s="37"/>
      <c r="C7" s="38"/>
      <c r="D7" s="36"/>
      <c r="E7" s="37"/>
      <c r="F7" s="61"/>
      <c r="G7" s="63"/>
      <c r="H7" s="64"/>
      <c r="I7" s="50" t="s">
        <v>7</v>
      </c>
      <c r="J7" s="51"/>
      <c r="K7" s="50">
        <v>1078718122</v>
      </c>
      <c r="L7" s="52"/>
      <c r="M7" s="52"/>
      <c r="N7" s="52"/>
      <c r="O7" s="53"/>
    </row>
    <row r="8" spans="1:15" ht="12.95" customHeight="1" x14ac:dyDescent="0.3">
      <c r="A8" s="58"/>
      <c r="B8" s="59"/>
      <c r="C8" s="60"/>
      <c r="D8" s="58"/>
      <c r="E8" s="59"/>
      <c r="F8" s="62"/>
      <c r="G8" s="63"/>
      <c r="H8" s="64"/>
      <c r="I8" s="50" t="s">
        <v>8</v>
      </c>
      <c r="J8" s="51"/>
      <c r="K8" s="50" t="s">
        <v>9</v>
      </c>
      <c r="L8" s="52"/>
      <c r="M8" s="52"/>
      <c r="N8" s="52"/>
      <c r="O8" s="53"/>
    </row>
    <row r="9" spans="1:15" ht="12.95" customHeight="1" x14ac:dyDescent="0.3">
      <c r="A9" s="36" t="s">
        <v>10</v>
      </c>
      <c r="B9" s="37"/>
      <c r="C9" s="38"/>
      <c r="D9" s="36" t="s">
        <v>11</v>
      </c>
      <c r="E9" s="37"/>
      <c r="F9" s="61"/>
      <c r="G9" s="63"/>
      <c r="H9" s="64"/>
      <c r="I9" s="36" t="s">
        <v>12</v>
      </c>
      <c r="J9" s="38"/>
      <c r="K9" s="50" t="s">
        <v>13</v>
      </c>
      <c r="L9" s="52"/>
      <c r="M9" s="52"/>
      <c r="N9" s="52"/>
      <c r="O9" s="53"/>
    </row>
    <row r="10" spans="1:15" ht="12.95" customHeight="1" x14ac:dyDescent="0.3">
      <c r="A10" s="58"/>
      <c r="B10" s="59"/>
      <c r="C10" s="60"/>
      <c r="D10" s="58"/>
      <c r="E10" s="59"/>
      <c r="F10" s="62"/>
      <c r="G10" s="63"/>
      <c r="H10" s="64"/>
      <c r="I10" s="58"/>
      <c r="J10" s="60"/>
      <c r="K10" s="50"/>
      <c r="L10" s="52"/>
      <c r="M10" s="52"/>
      <c r="N10" s="52"/>
      <c r="O10" s="53"/>
    </row>
    <row r="11" spans="1:15" ht="12.95" customHeight="1" x14ac:dyDescent="0.3">
      <c r="A11" s="36" t="s">
        <v>14</v>
      </c>
      <c r="B11" s="37"/>
      <c r="C11" s="38"/>
      <c r="D11" s="68" t="s">
        <v>15</v>
      </c>
      <c r="E11" s="69"/>
      <c r="F11" s="70"/>
      <c r="G11" s="63"/>
      <c r="H11" s="64"/>
      <c r="I11" s="50" t="s">
        <v>16</v>
      </c>
      <c r="J11" s="51"/>
      <c r="K11" s="50"/>
      <c r="L11" s="52"/>
      <c r="M11" s="52"/>
      <c r="N11" s="52"/>
      <c r="O11" s="53"/>
    </row>
    <row r="12" spans="1:15" ht="12.95" customHeight="1" x14ac:dyDescent="0.3">
      <c r="A12" s="39"/>
      <c r="B12" s="40"/>
      <c r="C12" s="41"/>
      <c r="D12" s="71"/>
      <c r="E12" s="72"/>
      <c r="F12" s="73"/>
      <c r="G12" s="63"/>
      <c r="H12" s="64"/>
      <c r="I12" s="54" t="s">
        <v>17</v>
      </c>
      <c r="J12" s="55"/>
      <c r="K12" s="54"/>
      <c r="L12" s="56"/>
      <c r="M12" s="56"/>
      <c r="N12" s="56"/>
      <c r="O12" s="57"/>
    </row>
    <row r="13" spans="1:15" ht="12.95" customHeight="1" x14ac:dyDescent="0.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ht="12.9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 ht="12.95" customHeight="1" x14ac:dyDescent="0.3">
      <c r="A15" s="3" t="s">
        <v>18</v>
      </c>
      <c r="B15" s="4" t="s">
        <v>19</v>
      </c>
      <c r="C15" s="4" t="s">
        <v>20</v>
      </c>
      <c r="D15" s="4" t="s">
        <v>21</v>
      </c>
      <c r="E15" s="4" t="s">
        <v>22</v>
      </c>
      <c r="F15" s="4" t="s">
        <v>23</v>
      </c>
      <c r="G15" s="30" t="s">
        <v>24</v>
      </c>
      <c r="H15" s="35"/>
      <c r="I15" s="4" t="s">
        <v>25</v>
      </c>
      <c r="J15" s="4" t="s">
        <v>26</v>
      </c>
      <c r="K15" s="4" t="s">
        <v>27</v>
      </c>
      <c r="L15" s="4" t="s">
        <v>28</v>
      </c>
      <c r="M15" s="4" t="s">
        <v>29</v>
      </c>
      <c r="N15" s="4" t="s">
        <v>30</v>
      </c>
      <c r="O15" s="3" t="s">
        <v>31</v>
      </c>
    </row>
    <row r="16" spans="1:15" ht="18" customHeight="1" x14ac:dyDescent="0.3">
      <c r="A16" s="5">
        <v>1</v>
      </c>
      <c r="B16" s="5" t="s">
        <v>32</v>
      </c>
      <c r="C16" s="5" t="s">
        <v>33</v>
      </c>
      <c r="D16" s="5" t="s">
        <v>34</v>
      </c>
      <c r="E16" s="5" t="s">
        <v>35</v>
      </c>
      <c r="F16" s="6" t="s">
        <v>36</v>
      </c>
      <c r="G16" s="19" t="s">
        <v>37</v>
      </c>
      <c r="H16" s="21"/>
      <c r="I16" s="5" t="s">
        <v>38</v>
      </c>
      <c r="J16" s="5" t="s">
        <v>39</v>
      </c>
      <c r="K16" s="5">
        <v>1</v>
      </c>
      <c r="L16" s="5">
        <v>1660000</v>
      </c>
      <c r="M16" s="5">
        <v>962000</v>
      </c>
      <c r="N16" s="5">
        <v>385154</v>
      </c>
      <c r="O16" s="7">
        <v>3007154</v>
      </c>
    </row>
    <row r="17" spans="1:15" ht="18" customHeight="1" x14ac:dyDescent="0.3">
      <c r="A17" s="5">
        <v>2</v>
      </c>
      <c r="B17" s="5" t="s">
        <v>32</v>
      </c>
      <c r="C17" s="5" t="s">
        <v>40</v>
      </c>
      <c r="D17" s="5" t="s">
        <v>34</v>
      </c>
      <c r="E17" s="5" t="s">
        <v>41</v>
      </c>
      <c r="F17" s="6" t="s">
        <v>42</v>
      </c>
      <c r="G17" s="19" t="s">
        <v>43</v>
      </c>
      <c r="H17" s="21"/>
      <c r="I17" s="5" t="s">
        <v>38</v>
      </c>
      <c r="J17" s="5" t="s">
        <v>39</v>
      </c>
      <c r="K17" s="5">
        <v>1</v>
      </c>
      <c r="L17" s="5">
        <v>4770000</v>
      </c>
      <c r="M17" s="5">
        <v>1874000</v>
      </c>
      <c r="N17" s="5">
        <v>646265</v>
      </c>
      <c r="O17" s="7">
        <v>7290265</v>
      </c>
    </row>
    <row r="18" spans="1:15" ht="18" customHeight="1" x14ac:dyDescent="0.3">
      <c r="A18" s="5">
        <v>3</v>
      </c>
      <c r="B18" s="5" t="s">
        <v>32</v>
      </c>
      <c r="C18" s="5" t="s">
        <v>44</v>
      </c>
      <c r="D18" s="5" t="s">
        <v>45</v>
      </c>
      <c r="E18" s="5" t="s">
        <v>46</v>
      </c>
      <c r="F18" s="6"/>
      <c r="G18" s="19" t="s">
        <v>47</v>
      </c>
      <c r="H18" s="21"/>
      <c r="I18" s="5" t="s">
        <v>38</v>
      </c>
      <c r="J18" s="5" t="s">
        <v>39</v>
      </c>
      <c r="K18" s="5">
        <v>1</v>
      </c>
      <c r="L18" s="5">
        <v>1914000</v>
      </c>
      <c r="M18" s="5">
        <v>1044000</v>
      </c>
      <c r="N18" s="5">
        <v>382627</v>
      </c>
      <c r="O18" s="7">
        <v>3340627</v>
      </c>
    </row>
    <row r="19" spans="1:15" ht="18" customHeight="1" x14ac:dyDescent="0.3">
      <c r="A19" s="5">
        <v>4</v>
      </c>
      <c r="B19" s="5" t="s">
        <v>32</v>
      </c>
      <c r="C19" s="5" t="s">
        <v>44</v>
      </c>
      <c r="D19" s="5" t="s">
        <v>45</v>
      </c>
      <c r="E19" s="5" t="s">
        <v>48</v>
      </c>
      <c r="F19" s="6"/>
      <c r="G19" s="19" t="s">
        <v>47</v>
      </c>
      <c r="H19" s="21"/>
      <c r="I19" s="5" t="s">
        <v>38</v>
      </c>
      <c r="J19" s="5" t="s">
        <v>39</v>
      </c>
      <c r="K19" s="5">
        <v>1</v>
      </c>
      <c r="L19" s="5">
        <v>1537000</v>
      </c>
      <c r="M19" s="5">
        <v>556000</v>
      </c>
      <c r="N19" s="5">
        <v>293866</v>
      </c>
      <c r="O19" s="7">
        <v>2386866</v>
      </c>
    </row>
    <row r="20" spans="1:15" ht="18" customHeight="1" x14ac:dyDescent="0.3">
      <c r="A20" s="5">
        <v>5</v>
      </c>
      <c r="B20" s="5" t="s">
        <v>32</v>
      </c>
      <c r="C20" s="5" t="s">
        <v>49</v>
      </c>
      <c r="D20" s="5" t="s">
        <v>34</v>
      </c>
      <c r="E20" s="5" t="s">
        <v>50</v>
      </c>
      <c r="F20" s="6" t="s">
        <v>51</v>
      </c>
      <c r="G20" s="19" t="s">
        <v>37</v>
      </c>
      <c r="H20" s="21"/>
      <c r="I20" s="5" t="s">
        <v>38</v>
      </c>
      <c r="J20" s="5" t="s">
        <v>39</v>
      </c>
      <c r="K20" s="5">
        <v>3</v>
      </c>
      <c r="L20" s="5">
        <v>3066000</v>
      </c>
      <c r="M20" s="5">
        <v>942000</v>
      </c>
      <c r="N20" s="5">
        <v>558897</v>
      </c>
      <c r="O20" s="7">
        <v>4566897</v>
      </c>
    </row>
    <row r="21" spans="1:15" ht="18" customHeight="1" x14ac:dyDescent="0.3">
      <c r="A21" s="5">
        <v>6</v>
      </c>
      <c r="B21" s="5" t="s">
        <v>32</v>
      </c>
      <c r="C21" s="5" t="s">
        <v>49</v>
      </c>
      <c r="D21" s="5" t="s">
        <v>52</v>
      </c>
      <c r="E21" s="5" t="s">
        <v>53</v>
      </c>
      <c r="F21" s="6" t="s">
        <v>54</v>
      </c>
      <c r="G21" s="19" t="s">
        <v>55</v>
      </c>
      <c r="H21" s="21"/>
      <c r="I21" s="5" t="s">
        <v>38</v>
      </c>
      <c r="J21" s="5" t="s">
        <v>39</v>
      </c>
      <c r="K21" s="5">
        <v>3</v>
      </c>
      <c r="L21" s="5">
        <v>2415000</v>
      </c>
      <c r="M21" s="5">
        <v>324000</v>
      </c>
      <c r="N21" s="5">
        <v>284448</v>
      </c>
      <c r="O21" s="7">
        <v>3023448</v>
      </c>
    </row>
    <row r="22" spans="1:15" ht="18" customHeight="1" x14ac:dyDescent="0.3">
      <c r="A22" s="5">
        <v>7</v>
      </c>
      <c r="B22" s="5" t="s">
        <v>32</v>
      </c>
      <c r="C22" s="5" t="s">
        <v>40</v>
      </c>
      <c r="D22" s="5" t="s">
        <v>34</v>
      </c>
      <c r="E22" s="5" t="s">
        <v>56</v>
      </c>
      <c r="F22" s="6"/>
      <c r="G22" s="19" t="s">
        <v>43</v>
      </c>
      <c r="H22" s="21"/>
      <c r="I22" s="5" t="s">
        <v>38</v>
      </c>
      <c r="J22" s="5" t="s">
        <v>39</v>
      </c>
      <c r="K22" s="5">
        <v>1</v>
      </c>
      <c r="L22" s="5">
        <v>3947000</v>
      </c>
      <c r="M22" s="5">
        <v>826000</v>
      </c>
      <c r="N22" s="5">
        <v>351386</v>
      </c>
      <c r="O22" s="7">
        <v>5124386</v>
      </c>
    </row>
    <row r="23" spans="1:15" ht="18" customHeight="1" x14ac:dyDescent="0.3">
      <c r="A23" s="5">
        <v>8</v>
      </c>
      <c r="B23" s="5" t="s">
        <v>32</v>
      </c>
      <c r="C23" s="5" t="s">
        <v>49</v>
      </c>
      <c r="D23" s="5" t="s">
        <v>45</v>
      </c>
      <c r="E23" s="5" t="s">
        <v>57</v>
      </c>
      <c r="F23" s="6"/>
      <c r="G23" s="19" t="s">
        <v>58</v>
      </c>
      <c r="H23" s="21"/>
      <c r="I23" s="5" t="s">
        <v>38</v>
      </c>
      <c r="J23" s="5" t="s">
        <v>39</v>
      </c>
      <c r="K23" s="5">
        <v>4</v>
      </c>
      <c r="L23" s="5">
        <v>2200000</v>
      </c>
      <c r="M23" s="5">
        <v>672000</v>
      </c>
      <c r="N23" s="5">
        <v>720088</v>
      </c>
      <c r="O23" s="7">
        <v>3592088</v>
      </c>
    </row>
    <row r="24" spans="1:15" ht="18" customHeight="1" x14ac:dyDescent="0.3">
      <c r="A24" s="5">
        <v>9</v>
      </c>
      <c r="B24" s="5" t="s">
        <v>32</v>
      </c>
      <c r="C24" s="5" t="s">
        <v>49</v>
      </c>
      <c r="D24" s="5" t="s">
        <v>52</v>
      </c>
      <c r="E24" s="5" t="s">
        <v>53</v>
      </c>
      <c r="F24" s="6"/>
      <c r="G24" s="19" t="s">
        <v>55</v>
      </c>
      <c r="H24" s="21"/>
      <c r="I24" s="5" t="s">
        <v>38</v>
      </c>
      <c r="J24" s="5" t="s">
        <v>39</v>
      </c>
      <c r="K24" s="5">
        <v>1</v>
      </c>
      <c r="L24" s="5">
        <v>805000</v>
      </c>
      <c r="M24" s="5">
        <v>108000</v>
      </c>
      <c r="N24" s="5">
        <v>94816</v>
      </c>
      <c r="O24" s="7">
        <v>1007816</v>
      </c>
    </row>
    <row r="25" spans="1:15" ht="18" customHeight="1" x14ac:dyDescent="0.3">
      <c r="A25" s="5">
        <v>10</v>
      </c>
      <c r="B25" s="5" t="s">
        <v>32</v>
      </c>
      <c r="C25" s="5" t="s">
        <v>49</v>
      </c>
      <c r="D25" s="5" t="s">
        <v>52</v>
      </c>
      <c r="E25" s="5" t="s">
        <v>59</v>
      </c>
      <c r="F25" s="6"/>
      <c r="G25" s="19" t="s">
        <v>55</v>
      </c>
      <c r="H25" s="21"/>
      <c r="I25" s="5" t="s">
        <v>38</v>
      </c>
      <c r="J25" s="5" t="s">
        <v>39</v>
      </c>
      <c r="K25" s="5">
        <v>3</v>
      </c>
      <c r="L25" s="5">
        <v>2460000</v>
      </c>
      <c r="M25" s="5">
        <v>393000</v>
      </c>
      <c r="N25" s="5">
        <v>299685</v>
      </c>
      <c r="O25" s="7">
        <v>3152685</v>
      </c>
    </row>
    <row r="26" spans="1:15" ht="18" customHeight="1" x14ac:dyDescent="0.3">
      <c r="A26" s="5">
        <v>11</v>
      </c>
      <c r="B26" s="5" t="s">
        <v>32</v>
      </c>
      <c r="C26" s="5" t="s">
        <v>49</v>
      </c>
      <c r="D26" s="5" t="s">
        <v>45</v>
      </c>
      <c r="E26" s="5" t="s">
        <v>60</v>
      </c>
      <c r="F26" s="6"/>
      <c r="G26" s="19" t="s">
        <v>55</v>
      </c>
      <c r="H26" s="21"/>
      <c r="I26" s="5" t="s">
        <v>38</v>
      </c>
      <c r="J26" s="5" t="s">
        <v>39</v>
      </c>
      <c r="K26" s="5">
        <v>3</v>
      </c>
      <c r="L26" s="5">
        <v>1482000</v>
      </c>
      <c r="M26" s="5">
        <v>918000</v>
      </c>
      <c r="N26" s="5">
        <v>531411</v>
      </c>
      <c r="O26" s="7">
        <v>2931411</v>
      </c>
    </row>
    <row r="27" spans="1:15" ht="18" customHeight="1" x14ac:dyDescent="0.3">
      <c r="A27" s="5">
        <v>12</v>
      </c>
      <c r="B27" s="5" t="s">
        <v>32</v>
      </c>
      <c r="C27" s="5" t="s">
        <v>44</v>
      </c>
      <c r="D27" s="5" t="s">
        <v>45</v>
      </c>
      <c r="E27" s="5" t="s">
        <v>61</v>
      </c>
      <c r="F27" s="6"/>
      <c r="G27" s="19" t="s">
        <v>47</v>
      </c>
      <c r="H27" s="21"/>
      <c r="I27" s="5" t="s">
        <v>38</v>
      </c>
      <c r="J27" s="5" t="s">
        <v>39</v>
      </c>
      <c r="K27" s="5">
        <v>2</v>
      </c>
      <c r="L27" s="5">
        <v>4034000</v>
      </c>
      <c r="M27" s="5">
        <v>2328000</v>
      </c>
      <c r="N27" s="5">
        <v>811056</v>
      </c>
      <c r="O27" s="7">
        <v>7173056</v>
      </c>
    </row>
    <row r="28" spans="1:15" ht="18" customHeight="1" x14ac:dyDescent="0.3">
      <c r="A28" s="5">
        <v>13</v>
      </c>
      <c r="B28" s="5" t="s">
        <v>32</v>
      </c>
      <c r="C28" s="5" t="s">
        <v>49</v>
      </c>
      <c r="D28" s="5" t="s">
        <v>34</v>
      </c>
      <c r="E28" s="5" t="s">
        <v>62</v>
      </c>
      <c r="F28" s="6"/>
      <c r="G28" s="19" t="s">
        <v>37</v>
      </c>
      <c r="H28" s="21"/>
      <c r="I28" s="5" t="s">
        <v>38</v>
      </c>
      <c r="J28" s="5" t="s">
        <v>39</v>
      </c>
      <c r="K28" s="5">
        <v>3</v>
      </c>
      <c r="L28" s="5">
        <v>2568000</v>
      </c>
      <c r="M28" s="5">
        <v>561000</v>
      </c>
      <c r="N28" s="5">
        <v>341853</v>
      </c>
      <c r="O28" s="7">
        <v>3470853</v>
      </c>
    </row>
    <row r="29" spans="1:15" ht="18" customHeight="1" x14ac:dyDescent="0.3">
      <c r="A29" s="5">
        <v>14</v>
      </c>
      <c r="B29" s="5" t="s">
        <v>32</v>
      </c>
      <c r="C29" s="5" t="s">
        <v>40</v>
      </c>
      <c r="D29" s="5" t="s">
        <v>34</v>
      </c>
      <c r="E29" s="5" t="s">
        <v>63</v>
      </c>
      <c r="F29" s="6"/>
      <c r="G29" s="19" t="s">
        <v>43</v>
      </c>
      <c r="H29" s="21"/>
      <c r="I29" s="5" t="s">
        <v>38</v>
      </c>
      <c r="J29" s="5" t="s">
        <v>39</v>
      </c>
      <c r="K29" s="5">
        <v>2</v>
      </c>
      <c r="L29" s="5">
        <v>8168000</v>
      </c>
      <c r="M29" s="5">
        <v>2148000</v>
      </c>
      <c r="N29" s="5">
        <v>789580</v>
      </c>
      <c r="O29" s="7">
        <v>11105580</v>
      </c>
    </row>
    <row r="30" spans="1:15" ht="18" customHeight="1" x14ac:dyDescent="0.3">
      <c r="A30" s="5">
        <v>15</v>
      </c>
      <c r="B30" s="5" t="s">
        <v>32</v>
      </c>
      <c r="C30" s="5" t="s">
        <v>33</v>
      </c>
      <c r="D30" s="5" t="s">
        <v>52</v>
      </c>
      <c r="E30" s="5" t="s">
        <v>59</v>
      </c>
      <c r="F30" s="6"/>
      <c r="G30" s="19" t="s">
        <v>55</v>
      </c>
      <c r="H30" s="21"/>
      <c r="I30" s="5" t="s">
        <v>38</v>
      </c>
      <c r="J30" s="5" t="s">
        <v>39</v>
      </c>
      <c r="K30" s="5">
        <v>1</v>
      </c>
      <c r="L30" s="5">
        <v>838000</v>
      </c>
      <c r="M30" s="5">
        <v>124000</v>
      </c>
      <c r="N30" s="5">
        <v>98828</v>
      </c>
      <c r="O30" s="7">
        <v>1060828</v>
      </c>
    </row>
    <row r="31" spans="1:15" ht="18" customHeight="1" x14ac:dyDescent="0.3">
      <c r="A31" s="5">
        <v>16</v>
      </c>
      <c r="B31" s="5" t="s">
        <v>32</v>
      </c>
      <c r="C31" s="5" t="s">
        <v>40</v>
      </c>
      <c r="D31" s="5" t="s">
        <v>34</v>
      </c>
      <c r="E31" s="5" t="s">
        <v>64</v>
      </c>
      <c r="F31" s="6" t="s">
        <v>65</v>
      </c>
      <c r="G31" s="19" t="s">
        <v>43</v>
      </c>
      <c r="H31" s="21"/>
      <c r="I31" s="5" t="s">
        <v>38</v>
      </c>
      <c r="J31" s="5" t="s">
        <v>39</v>
      </c>
      <c r="K31" s="5">
        <v>3</v>
      </c>
      <c r="L31" s="5">
        <v>8277000</v>
      </c>
      <c r="M31" s="5">
        <v>741000</v>
      </c>
      <c r="N31" s="5">
        <v>498870</v>
      </c>
      <c r="O31" s="7">
        <v>9516870</v>
      </c>
    </row>
    <row r="32" spans="1:15" ht="18" customHeight="1" x14ac:dyDescent="0.3">
      <c r="A32" s="5">
        <v>17</v>
      </c>
      <c r="B32" s="5" t="s">
        <v>32</v>
      </c>
      <c r="C32" s="5" t="s">
        <v>66</v>
      </c>
      <c r="D32" s="5" t="s">
        <v>52</v>
      </c>
      <c r="E32" s="5" t="s">
        <v>67</v>
      </c>
      <c r="F32" s="6"/>
      <c r="G32" s="19" t="s">
        <v>55</v>
      </c>
      <c r="H32" s="21"/>
      <c r="I32" s="5" t="s">
        <v>38</v>
      </c>
      <c r="J32" s="5" t="s">
        <v>39</v>
      </c>
      <c r="K32" s="5">
        <v>1</v>
      </c>
      <c r="L32" s="5">
        <v>2071000</v>
      </c>
      <c r="M32" s="5">
        <v>367000</v>
      </c>
      <c r="N32" s="5">
        <v>273877</v>
      </c>
      <c r="O32" s="7">
        <v>2711877</v>
      </c>
    </row>
    <row r="33" spans="1:15" ht="18" customHeight="1" x14ac:dyDescent="0.3">
      <c r="A33" s="5">
        <v>18</v>
      </c>
      <c r="B33" s="5" t="s">
        <v>32</v>
      </c>
      <c r="C33" s="5" t="s">
        <v>66</v>
      </c>
      <c r="D33" s="5" t="s">
        <v>52</v>
      </c>
      <c r="E33" s="5" t="s">
        <v>68</v>
      </c>
      <c r="F33" s="6" t="s">
        <v>69</v>
      </c>
      <c r="G33" s="19" t="s">
        <v>55</v>
      </c>
      <c r="H33" s="21"/>
      <c r="I33" s="5" t="s">
        <v>38</v>
      </c>
      <c r="J33" s="5" t="s">
        <v>39</v>
      </c>
      <c r="K33" s="5">
        <v>1</v>
      </c>
      <c r="L33" s="5">
        <v>2169000</v>
      </c>
      <c r="M33" s="5">
        <v>496000</v>
      </c>
      <c r="N33" s="5">
        <v>297599</v>
      </c>
      <c r="O33" s="7">
        <v>2962599</v>
      </c>
    </row>
    <row r="34" spans="1:15" ht="18" customHeight="1" x14ac:dyDescent="0.3">
      <c r="A34" s="5">
        <v>19</v>
      </c>
      <c r="B34" s="5" t="s">
        <v>32</v>
      </c>
      <c r="C34" s="5" t="s">
        <v>66</v>
      </c>
      <c r="D34" s="5" t="s">
        <v>52</v>
      </c>
      <c r="E34" s="5" t="s">
        <v>70</v>
      </c>
      <c r="F34" s="6"/>
      <c r="G34" s="19" t="s">
        <v>55</v>
      </c>
      <c r="H34" s="21"/>
      <c r="I34" s="5" t="s">
        <v>38</v>
      </c>
      <c r="J34" s="5" t="s">
        <v>39</v>
      </c>
      <c r="K34" s="5">
        <v>3</v>
      </c>
      <c r="L34" s="5">
        <v>5778000</v>
      </c>
      <c r="M34" s="5">
        <v>828000</v>
      </c>
      <c r="N34" s="5">
        <v>550296</v>
      </c>
      <c r="O34" s="7">
        <v>7156296</v>
      </c>
    </row>
    <row r="35" spans="1:15" ht="18" customHeight="1" x14ac:dyDescent="0.3">
      <c r="A35" s="5">
        <v>20</v>
      </c>
      <c r="B35" s="5" t="s">
        <v>71</v>
      </c>
      <c r="C35" s="5" t="s">
        <v>72</v>
      </c>
      <c r="D35" s="5" t="s">
        <v>73</v>
      </c>
      <c r="E35" s="5" t="s">
        <v>74</v>
      </c>
      <c r="F35" s="6" t="s">
        <v>75</v>
      </c>
      <c r="G35" s="19" t="s">
        <v>76</v>
      </c>
      <c r="H35" s="21"/>
      <c r="I35" s="5" t="s">
        <v>38</v>
      </c>
      <c r="J35" s="5" t="s">
        <v>77</v>
      </c>
      <c r="K35" s="5">
        <v>1</v>
      </c>
      <c r="L35" s="5">
        <v>1274000</v>
      </c>
      <c r="M35" s="5">
        <v>310000</v>
      </c>
      <c r="N35" s="5">
        <v>258813</v>
      </c>
      <c r="O35" s="7">
        <v>1842813</v>
      </c>
    </row>
    <row r="36" spans="1:15" ht="18" customHeight="1" x14ac:dyDescent="0.3">
      <c r="A36" s="5">
        <v>21</v>
      </c>
      <c r="B36" s="5" t="s">
        <v>71</v>
      </c>
      <c r="C36" s="5" t="s">
        <v>72</v>
      </c>
      <c r="D36" s="5" t="s">
        <v>73</v>
      </c>
      <c r="E36" s="5" t="s">
        <v>78</v>
      </c>
      <c r="F36" s="6" t="s">
        <v>75</v>
      </c>
      <c r="G36" s="19" t="s">
        <v>76</v>
      </c>
      <c r="H36" s="21"/>
      <c r="I36" s="5" t="s">
        <v>38</v>
      </c>
      <c r="J36" s="5" t="s">
        <v>77</v>
      </c>
      <c r="K36" s="5">
        <v>1</v>
      </c>
      <c r="L36" s="5">
        <v>1248000</v>
      </c>
      <c r="M36" s="5">
        <v>269000</v>
      </c>
      <c r="N36" s="5">
        <v>250131</v>
      </c>
      <c r="O36" s="7">
        <v>1767131</v>
      </c>
    </row>
    <row r="37" spans="1:15" ht="18" customHeight="1" x14ac:dyDescent="0.3">
      <c r="A37" s="5">
        <v>22</v>
      </c>
      <c r="B37" s="5" t="s">
        <v>71</v>
      </c>
      <c r="C37" s="5" t="s">
        <v>72</v>
      </c>
      <c r="D37" s="5" t="s">
        <v>73</v>
      </c>
      <c r="E37" s="5" t="s">
        <v>79</v>
      </c>
      <c r="F37" s="6" t="s">
        <v>75</v>
      </c>
      <c r="G37" s="19" t="s">
        <v>76</v>
      </c>
      <c r="H37" s="21"/>
      <c r="I37" s="5" t="s">
        <v>38</v>
      </c>
      <c r="J37" s="5" t="s">
        <v>77</v>
      </c>
      <c r="K37" s="5">
        <v>1</v>
      </c>
      <c r="L37" s="5">
        <v>1339000</v>
      </c>
      <c r="M37" s="5">
        <v>354000</v>
      </c>
      <c r="N37" s="5">
        <v>268126</v>
      </c>
      <c r="O37" s="7">
        <v>1961126</v>
      </c>
    </row>
    <row r="38" spans="1:15" ht="18" customHeight="1" x14ac:dyDescent="0.3">
      <c r="A38" s="5">
        <v>23</v>
      </c>
      <c r="B38" s="5" t="s">
        <v>71</v>
      </c>
      <c r="C38" s="5" t="s">
        <v>72</v>
      </c>
      <c r="D38" s="5" t="s">
        <v>73</v>
      </c>
      <c r="E38" s="5" t="s">
        <v>80</v>
      </c>
      <c r="F38" s="6" t="s">
        <v>75</v>
      </c>
      <c r="G38" s="19" t="s">
        <v>76</v>
      </c>
      <c r="H38" s="21"/>
      <c r="I38" s="5" t="s">
        <v>38</v>
      </c>
      <c r="J38" s="5" t="s">
        <v>77</v>
      </c>
      <c r="K38" s="5">
        <v>2</v>
      </c>
      <c r="L38" s="5">
        <v>2172000</v>
      </c>
      <c r="M38" s="5">
        <v>336000</v>
      </c>
      <c r="N38" s="5">
        <v>252312</v>
      </c>
      <c r="O38" s="7">
        <v>2760312</v>
      </c>
    </row>
    <row r="39" spans="1:15" ht="18" customHeight="1" x14ac:dyDescent="0.3">
      <c r="A39" s="5">
        <v>24</v>
      </c>
      <c r="B39" s="5" t="s">
        <v>71</v>
      </c>
      <c r="C39" s="5" t="s">
        <v>72</v>
      </c>
      <c r="D39" s="5" t="s">
        <v>73</v>
      </c>
      <c r="E39" s="5" t="s">
        <v>81</v>
      </c>
      <c r="F39" s="6" t="s">
        <v>75</v>
      </c>
      <c r="G39" s="19" t="s">
        <v>76</v>
      </c>
      <c r="H39" s="21"/>
      <c r="I39" s="5" t="s">
        <v>38</v>
      </c>
      <c r="J39" s="5" t="s">
        <v>77</v>
      </c>
      <c r="K39" s="5">
        <v>3</v>
      </c>
      <c r="L39" s="5">
        <v>3126000</v>
      </c>
      <c r="M39" s="5">
        <v>438000</v>
      </c>
      <c r="N39" s="5">
        <v>359418</v>
      </c>
      <c r="O39" s="7">
        <v>3923418</v>
      </c>
    </row>
    <row r="40" spans="1:15" ht="18" customHeight="1" x14ac:dyDescent="0.3">
      <c r="A40" s="5">
        <v>25</v>
      </c>
      <c r="B40" s="5" t="s">
        <v>71</v>
      </c>
      <c r="C40" s="5" t="s">
        <v>72</v>
      </c>
      <c r="D40" s="5" t="s">
        <v>73</v>
      </c>
      <c r="E40" s="5" t="s">
        <v>63</v>
      </c>
      <c r="F40" s="6" t="s">
        <v>75</v>
      </c>
      <c r="G40" s="19" t="s">
        <v>76</v>
      </c>
      <c r="H40" s="21"/>
      <c r="I40" s="5" t="s">
        <v>38</v>
      </c>
      <c r="J40" s="5" t="s">
        <v>77</v>
      </c>
      <c r="K40" s="5">
        <v>1</v>
      </c>
      <c r="L40" s="5">
        <v>1524000</v>
      </c>
      <c r="M40" s="5">
        <v>565000</v>
      </c>
      <c r="N40" s="5">
        <v>311692</v>
      </c>
      <c r="O40" s="7">
        <v>2400692</v>
      </c>
    </row>
    <row r="41" spans="1:15" ht="18" customHeight="1" x14ac:dyDescent="0.3">
      <c r="A41" s="5">
        <v>26</v>
      </c>
      <c r="B41" s="5" t="s">
        <v>71</v>
      </c>
      <c r="C41" s="5" t="s">
        <v>72</v>
      </c>
      <c r="D41" s="5" t="s">
        <v>82</v>
      </c>
      <c r="E41" s="5" t="s">
        <v>83</v>
      </c>
      <c r="F41" s="6" t="s">
        <v>84</v>
      </c>
      <c r="G41" s="19" t="s">
        <v>76</v>
      </c>
      <c r="H41" s="21"/>
      <c r="I41" s="5" t="s">
        <v>38</v>
      </c>
      <c r="J41" s="5" t="s">
        <v>77</v>
      </c>
      <c r="K41" s="5">
        <v>1</v>
      </c>
      <c r="L41" s="5">
        <v>1348000</v>
      </c>
      <c r="M41" s="5">
        <v>415000</v>
      </c>
      <c r="N41" s="5">
        <v>281396</v>
      </c>
      <c r="O41" s="7">
        <v>2044396</v>
      </c>
    </row>
    <row r="42" spans="1:15" ht="18" customHeight="1" x14ac:dyDescent="0.3">
      <c r="A42" s="5">
        <v>27</v>
      </c>
      <c r="B42" s="5" t="s">
        <v>71</v>
      </c>
      <c r="C42" s="5" t="s">
        <v>72</v>
      </c>
      <c r="D42" s="5" t="s">
        <v>73</v>
      </c>
      <c r="E42" s="5" t="s">
        <v>85</v>
      </c>
      <c r="F42" s="6" t="s">
        <v>75</v>
      </c>
      <c r="G42" s="19" t="s">
        <v>76</v>
      </c>
      <c r="H42" s="21"/>
      <c r="I42" s="5" t="s">
        <v>38</v>
      </c>
      <c r="J42" s="5" t="s">
        <v>77</v>
      </c>
      <c r="K42" s="5">
        <v>1</v>
      </c>
      <c r="L42" s="5">
        <v>1423000</v>
      </c>
      <c r="M42" s="5">
        <v>460000</v>
      </c>
      <c r="N42" s="5">
        <v>290647</v>
      </c>
      <c r="O42" s="7">
        <v>2173647</v>
      </c>
    </row>
    <row r="43" spans="1:15" ht="18" customHeight="1" x14ac:dyDescent="0.3">
      <c r="A43" s="8"/>
      <c r="B43" s="9"/>
      <c r="C43" s="9"/>
      <c r="D43" s="9"/>
      <c r="E43" s="9"/>
      <c r="F43" s="9"/>
      <c r="G43" s="66"/>
      <c r="H43" s="67"/>
      <c r="I43" s="9"/>
      <c r="J43" s="9"/>
      <c r="K43" s="9"/>
      <c r="L43" s="19" t="s">
        <v>86</v>
      </c>
      <c r="M43" s="20"/>
      <c r="N43" s="21"/>
      <c r="O43" s="10">
        <v>92972000</v>
      </c>
    </row>
    <row r="44" spans="1:15" ht="18" customHeight="1" x14ac:dyDescent="0.3">
      <c r="A44" s="8"/>
      <c r="B44" s="9"/>
      <c r="C44" s="9"/>
      <c r="D44" s="9"/>
      <c r="E44" s="9"/>
      <c r="F44" s="9"/>
      <c r="G44" s="66"/>
      <c r="H44" s="67"/>
      <c r="I44" s="9"/>
      <c r="J44" s="9"/>
      <c r="K44" s="9"/>
      <c r="L44" s="19" t="s">
        <v>87</v>
      </c>
      <c r="M44" s="20"/>
      <c r="N44" s="21"/>
      <c r="O44" s="10">
        <v>10483137</v>
      </c>
    </row>
    <row r="45" spans="1:15" ht="18" customHeight="1" x14ac:dyDescent="0.3">
      <c r="A45" s="8"/>
      <c r="B45" s="9"/>
      <c r="C45" s="9"/>
      <c r="D45" s="9"/>
      <c r="E45" s="9"/>
      <c r="F45" s="9"/>
      <c r="G45" s="66"/>
      <c r="H45" s="67"/>
      <c r="I45" s="9"/>
      <c r="J45" s="9"/>
      <c r="K45" s="9"/>
      <c r="L45" s="19" t="s">
        <v>88</v>
      </c>
      <c r="M45" s="20"/>
      <c r="N45" s="21"/>
      <c r="O45" s="10">
        <v>10483137</v>
      </c>
    </row>
    <row r="46" spans="1:15" ht="18" customHeight="1" x14ac:dyDescent="0.3">
      <c r="A46" s="8"/>
      <c r="B46" s="9"/>
      <c r="C46" s="9"/>
      <c r="D46" s="9"/>
      <c r="E46" s="9"/>
      <c r="F46" s="9"/>
      <c r="G46" s="66"/>
      <c r="H46" s="67"/>
      <c r="I46" s="9"/>
      <c r="J46" s="9"/>
      <c r="K46" s="9"/>
      <c r="L46" s="19" t="s">
        <v>89</v>
      </c>
      <c r="M46" s="20"/>
      <c r="N46" s="21"/>
      <c r="O46" s="10"/>
    </row>
    <row r="47" spans="1:15" ht="18" customHeight="1" x14ac:dyDescent="0.3">
      <c r="A47" s="8"/>
      <c r="B47" s="9"/>
      <c r="C47" s="9"/>
      <c r="D47" s="9"/>
      <c r="E47" s="9"/>
      <c r="F47" s="9"/>
      <c r="G47" s="66"/>
      <c r="H47" s="67"/>
      <c r="I47" s="9"/>
      <c r="J47" s="9"/>
      <c r="K47" s="9"/>
      <c r="L47" s="19" t="s">
        <v>90</v>
      </c>
      <c r="M47" s="20"/>
      <c r="N47" s="21"/>
      <c r="O47" s="10"/>
    </row>
    <row r="48" spans="1:15" ht="18" customHeight="1" x14ac:dyDescent="0.3">
      <c r="A48" s="30" t="s">
        <v>91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5"/>
      <c r="O48" s="11" t="s">
        <v>92</v>
      </c>
    </row>
    <row r="49" spans="1:15" ht="12.95" customHeight="1" x14ac:dyDescent="0.3">
      <c r="A49" s="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ht="18" customHeight="1" thickBot="1" x14ac:dyDescent="0.35">
      <c r="A50" s="32" t="s">
        <v>93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</row>
    <row r="51" spans="1:15" ht="12.95" customHeight="1" x14ac:dyDescent="0.3">
      <c r="A51" s="22" t="s">
        <v>94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</row>
    <row r="52" spans="1:15" ht="12.95" customHeight="1" x14ac:dyDescent="0.3">
      <c r="A52" s="25" t="s">
        <v>95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7"/>
    </row>
    <row r="53" spans="1:15" ht="12.95" customHeight="1" x14ac:dyDescent="0.3">
      <c r="A53" s="25" t="s">
        <v>96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</row>
    <row r="54" spans="1:15" ht="12.95" customHeight="1" x14ac:dyDescent="0.3">
      <c r="A54" s="25" t="s">
        <v>97</v>
      </c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7"/>
    </row>
    <row r="55" spans="1:15" ht="12.95" customHeight="1" thickBot="1" x14ac:dyDescent="0.3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6"/>
    </row>
    <row r="56" spans="1:15" s="13" customFormat="1" ht="10.5" x14ac:dyDescent="0.3">
      <c r="A56" s="28" t="s">
        <v>98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</row>
    <row r="57" spans="1:15" s="13" customFormat="1" ht="10.5" x14ac:dyDescent="0.3">
      <c r="A57" s="29" t="s">
        <v>99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</sheetData>
  <mergeCells count="79">
    <mergeCell ref="K7:O7"/>
    <mergeCell ref="I8:J8"/>
    <mergeCell ref="K8:O8"/>
    <mergeCell ref="B2:N2"/>
    <mergeCell ref="A3:O3"/>
    <mergeCell ref="A4:O4"/>
    <mergeCell ref="A5:C5"/>
    <mergeCell ref="D5:F5"/>
    <mergeCell ref="G5:H5"/>
    <mergeCell ref="I5:J6"/>
    <mergeCell ref="K5:O6"/>
    <mergeCell ref="A6:C6"/>
    <mergeCell ref="D6:F6"/>
    <mergeCell ref="G6:H6"/>
    <mergeCell ref="A7:C8"/>
    <mergeCell ref="D7:F8"/>
    <mergeCell ref="G7:H8"/>
    <mergeCell ref="I7:J7"/>
    <mergeCell ref="K11:O11"/>
    <mergeCell ref="I12:J12"/>
    <mergeCell ref="K12:O12"/>
    <mergeCell ref="A9:C10"/>
    <mergeCell ref="D9:F10"/>
    <mergeCell ref="G9:H10"/>
    <mergeCell ref="I9:J10"/>
    <mergeCell ref="K9:O9"/>
    <mergeCell ref="K10:O10"/>
    <mergeCell ref="G18:H18"/>
    <mergeCell ref="A11:C12"/>
    <mergeCell ref="D11:F12"/>
    <mergeCell ref="G11:H12"/>
    <mergeCell ref="I11:J11"/>
    <mergeCell ref="A13:O13"/>
    <mergeCell ref="A14:O14"/>
    <mergeCell ref="G15:H15"/>
    <mergeCell ref="G16:H16"/>
    <mergeCell ref="G17:H17"/>
    <mergeCell ref="G30:H30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42:H42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3:H43"/>
    <mergeCell ref="L43:N43"/>
    <mergeCell ref="G44:H44"/>
    <mergeCell ref="L44:N44"/>
    <mergeCell ref="G45:H45"/>
    <mergeCell ref="L45:N45"/>
    <mergeCell ref="A57:N57"/>
    <mergeCell ref="G46:H46"/>
    <mergeCell ref="L46:N46"/>
    <mergeCell ref="G47:H47"/>
    <mergeCell ref="L47:N47"/>
    <mergeCell ref="A48:N48"/>
    <mergeCell ref="A50:O50"/>
    <mergeCell ref="A51:O51"/>
    <mergeCell ref="A52:O52"/>
    <mergeCell ref="A53:O53"/>
    <mergeCell ref="A54:O54"/>
    <mergeCell ref="A56:N56"/>
  </mergeCells>
  <phoneticPr fontId="23" type="noConversion"/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304800</xdr:colOff>
                <xdr:row>1</xdr:row>
                <xdr:rowOff>19050</xdr:rowOff>
              </to>
            </anchor>
          </controlPr>
        </control>
      </mc:Choice>
      <mc:Fallback>
        <control shapeId="1025" r:id="rId3" name="Control 1"/>
      </mc:Fallback>
    </mc:AlternateContent>
    <mc:AlternateContent xmlns:mc="http://schemas.openxmlformats.org/markup-compatibility/2006">
      <mc:Choice Requires="x14">
        <control shapeId="1026" r:id="rId5" name="Control 2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26" r:id="rId5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10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1" name="Control 6">
          <controlPr defaultSize="0" r:id="rId12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30" r:id="rId11" name="Control 6"/>
      </mc:Fallback>
    </mc:AlternateContent>
    <mc:AlternateContent xmlns:mc="http://schemas.openxmlformats.org/markup-compatibility/2006">
      <mc:Choice Requires="x14">
        <control shapeId="1031" r:id="rId13" name="Control 7">
          <controlPr defaultSize="0" r:id="rId14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31" r:id="rId13" name="Control 7"/>
      </mc:Fallback>
    </mc:AlternateContent>
    <mc:AlternateContent xmlns:mc="http://schemas.openxmlformats.org/markup-compatibility/2006">
      <mc:Choice Requires="x14">
        <control shapeId="1032" r:id="rId15" name="Control 8">
          <controlPr defaultSize="0" r:id="rId6">
            <anchor moveWithCells="1">
              <from>
                <xdr:col>1</xdr:col>
                <xdr:colOff>0</xdr:colOff>
                <xdr:row>0</xdr:row>
                <xdr:rowOff>0</xdr:rowOff>
              </from>
              <to>
                <xdr:col>2</xdr:col>
                <xdr:colOff>571500</xdr:colOff>
                <xdr:row>1</xdr:row>
                <xdr:rowOff>19050</xdr:rowOff>
              </to>
            </anchor>
          </controlPr>
        </control>
      </mc:Choice>
      <mc:Fallback>
        <control shapeId="1032" r:id="rId15" name="Control 8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2024-02-22 (2)</vt:lpstr>
      <vt:lpstr>2024-02-22</vt:lpstr>
      <vt:lpstr>'2024-02-22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김택범</dc:creator>
  <cp:lastModifiedBy>1762</cp:lastModifiedBy>
  <dcterms:created xsi:type="dcterms:W3CDTF">2024-02-22T06:52:04Z</dcterms:created>
  <dcterms:modified xsi:type="dcterms:W3CDTF">2024-02-22T10:04:58Z</dcterms:modified>
</cp:coreProperties>
</file>